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scientificnet.sharepoint.com/sites/ReLIFE/Shared Documents/General/WP2_Data concept and quality control/T2.2_Static data resources as starting point/Working Folder/Price Lists/Homogenization/"/>
    </mc:Choice>
  </mc:AlternateContent>
  <xr:revisionPtr revIDLastSave="1173" documentId="13_ncr:1_{EEEE6569-187F-4263-82C3-0D2DF73BF4DB}" xr6:coauthVersionLast="47" xr6:coauthVersionMax="47" xr10:uidLastSave="{BA6E1854-4AEC-5E45-AA49-A64C9742CA7D}"/>
  <bookViews>
    <workbookView xWindow="12480" yWindow="740" windowWidth="16920" windowHeight="16940" xr2:uid="{BB8B1A97-DC81-4F18-975D-CFFBCABE6D2C}"/>
  </bookViews>
  <sheets>
    <sheet name="Foglio1" sheetId="2" r:id="rId1"/>
    <sheet name="Structure" sheetId="3" r:id="rId2"/>
  </sheets>
  <definedNames>
    <definedName name="_xlnm._FilterDatabase" localSheetId="0" hidden="1">Foglio1!$B$1:$B$169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M188" i="2" l="1"/>
  <c r="M186" i="2"/>
  <c r="M185" i="2"/>
  <c r="L183" i="2"/>
  <c r="L182" i="2"/>
  <c r="L181" i="2"/>
  <c r="L180" i="2"/>
  <c r="L17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Kseniia Shkirman</author>
  </authors>
  <commentList>
    <comment ref="L94" authorId="0" shapeId="0" xr:uid="{5993A040-6197-1948-9405-A1F282A61050}">
      <text>
        <r>
          <rPr>
            <b/>
            <sz val="10"/>
            <color rgb="FF000000"/>
            <rFont val="Tahoma"/>
            <family val="2"/>
          </rPr>
          <t>Kseniia Shkirman: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Average of wood and laminate </t>
        </r>
      </text>
    </comment>
  </commentList>
</comments>
</file>

<file path=xl/sharedStrings.xml><?xml version="1.0" encoding="utf-8"?>
<sst xmlns="http://schemas.openxmlformats.org/spreadsheetml/2006/main" count="1022" uniqueCount="235">
  <si>
    <t>Country</t>
  </si>
  <si>
    <t>Region</t>
  </si>
  <si>
    <t>Renovation work</t>
  </si>
  <si>
    <t>Material</t>
  </si>
  <si>
    <t>Thickness [cm]</t>
  </si>
  <si>
    <t>Lambda [mK/W]</t>
  </si>
  <si>
    <t>Uw [W/m2K]</t>
  </si>
  <si>
    <t>Power [kW]</t>
  </si>
  <si>
    <t>Solar collector area [m2]</t>
  </si>
  <si>
    <t>Capacity [l]</t>
  </si>
  <si>
    <t>Price [€/m2]</t>
  </si>
  <si>
    <t>Price [€]</t>
  </si>
  <si>
    <t>Source Author, Title, Year</t>
  </si>
  <si>
    <t>Source link</t>
  </si>
  <si>
    <t>Bulgaria</t>
  </si>
  <si>
    <t>General</t>
  </si>
  <si>
    <t xml:space="preserve">Wall insulation </t>
  </si>
  <si>
    <t>MW</t>
  </si>
  <si>
    <t xml:space="preserve">Daibau.bg. Фасади, цени. 2025 </t>
  </si>
  <si>
    <t>https://www.daibau.bg/ceni/fasada</t>
  </si>
  <si>
    <t>Wall insulation - additional</t>
  </si>
  <si>
    <t>Roof insulation - Accessible</t>
  </si>
  <si>
    <t>GW</t>
  </si>
  <si>
    <t>Daibau.bg. Изолация на мансарда, цени. 2025</t>
  </si>
  <si>
    <t>https://www.daibau.bg/ceni/izolatsiya_na_mansarda</t>
  </si>
  <si>
    <t>Roof insulation - Makeover</t>
  </si>
  <si>
    <t>Floor insulation</t>
  </si>
  <si>
    <t>EPS</t>
  </si>
  <si>
    <t>Windows</t>
  </si>
  <si>
    <t>Air-water Heat Pump</t>
  </si>
  <si>
    <t>Condensing boiler</t>
  </si>
  <si>
    <t>PV</t>
  </si>
  <si>
    <t>Solar thermal panels</t>
  </si>
  <si>
    <t>Croatia</t>
  </si>
  <si>
    <t>Wall insulation</t>
  </si>
  <si>
    <t>Institut IGH. STANDARDNA KALKULACIJA RADOVA U VISOKOGRADNJI - NADOGRADNJA I. 2024</t>
  </si>
  <si>
    <t xml:space="preserve"> https://mpgi.gov.hr/UserDocsImages/dokumenti/Graditeljstvo/Bilten_N_I_9_24.pdf</t>
  </si>
  <si>
    <t>Institut IGH. STANDARDNA KALKULACIJA RADOVA U VISOKOGRADNJI - NADOGRADNJA I. 2025</t>
  </si>
  <si>
    <t>Institut IGH. STANDARDNA KALKULACIJA RADOVA U VISOKOGRADNJI - NADOGRADNJA I. 2026</t>
  </si>
  <si>
    <t xml:space="preserve">Emajstor. Dizalica topline - cijena toplinske pumpe. 2025 </t>
  </si>
  <si>
    <t>https://www.emajstor.hr/cijene/dizalica_topline#:~:text=Cijena%20sustava%20toplinske%20crpke%20voda,ku%C4%87u%2C%20odbit%20%C4%87ete%204.000%20EUR.</t>
  </si>
  <si>
    <t>Czechia</t>
  </si>
  <si>
    <t xml:space="preserve">RTS. Cenová soustava RTS DATA. 62230003 Zateplení tepelně izolačním systémem z polystyrénu. 2025 </t>
  </si>
  <si>
    <t>https://rtscloud.cz/App/RTS-Data/</t>
  </si>
  <si>
    <t>RTS. Cenová soustava RTS DATA. TZB - instalace a potrubní rozvody. Tepelná čerpadla. 2025</t>
  </si>
  <si>
    <t>https://rtscloud.cz/App/RTS-Data/ De Dietrich. Heat Pumps. 2025 https://www.dedietrich-heating.com/index.php/products/product_ranges/heat_pumps/alezio_s_v200_air_water_heat_pump/alezio_s_11_mr_tr_v200</t>
  </si>
  <si>
    <t>https://rtscloud.cz/App/RTS-Data/KKPTree_OBJ6_KPR630</t>
  </si>
  <si>
    <t>https://rtscloud.cz/App/RTS-Data/KKPTree_OBJ6_KPR487</t>
  </si>
  <si>
    <t>Estonia</t>
  </si>
  <si>
    <t xml:space="preserve">Thalfeldt et al. Window model and 5 year price data sensitivity to cost-effective façade solutions for of ce buildings in Estonia. 2017 </t>
  </si>
  <si>
    <t>http://dx.doi.org/10.1016/j.energy.2017.06.160</t>
  </si>
  <si>
    <t>Cellulose</t>
  </si>
  <si>
    <t>Kertsmik et al. Evaluation of renovation strategies: cost-optimal, CO₂e optimal, or total energy optimal? 2023</t>
  </si>
  <si>
    <t>https://doi.org/10.1016/j.enbuild.2023.112995</t>
  </si>
  <si>
    <t>PVC</t>
  </si>
  <si>
    <t>France</t>
  </si>
  <si>
    <t>Conseil d'analyse economique. "Analyse socio-economique de la renovation energetique des logements". 2024</t>
  </si>
  <si>
    <t>https://www.cae-eco.fr/analyse-socio-economique-de-la-renovation-energetique-des-logements</t>
  </si>
  <si>
    <t>Observatorie des batiments basse consommation. "Les maisons renovees a basse consommation". 2021</t>
  </si>
  <si>
    <t>https://www.effinergie.org/web/images/attach/base_doc/2912/20210429etude-renovation.pdf#page=33.44</t>
  </si>
  <si>
    <t>Denmark</t>
  </si>
  <si>
    <t>Kragh, J., Rose, J., &amp; Aggerholm, S. Cost-optimal levels of minimum energy performance requirements in the Danish Building Regulations (3). 2023 https://vbn.aau.dk/en/publications/b70d844a-bf8e-483a-8895-9f90f1100262</t>
  </si>
  <si>
    <t>https://vbn.aau.dk/en/publications/b70d844a-bf8e-483a-8895-9f90f1100262</t>
  </si>
  <si>
    <t xml:space="preserve">byggefokus.dk. Isolering af tag: Guide &amp; oversigt. 2025 </t>
  </si>
  <si>
    <t>https://byggefokus.dk/isolering-af-tag/</t>
  </si>
  <si>
    <t>XPS</t>
  </si>
  <si>
    <t>Gulvlaegger.dk. Isolering af gulv: Prøv vores prisberegner for 2025 og få et fast tilbud. 2025</t>
  </si>
  <si>
    <t>https://gulvlaegger.dk/isolering-af-gulv/#f1p2</t>
  </si>
  <si>
    <t>Kragh, J., Rose, J., &amp; Aggerholm, S. Cost-optimal levels of minimum energy performance requirements in the Danish Building Regulations (3). 2023</t>
  </si>
  <si>
    <t>Jensen, S.Ø. and Svendsen, A., 2021. Heat as a Service – Evaluation of a Danish Support Scheme for Dissemination of a New Business Concept for Heat Pumps. Danish Energy Agency, Centre for Global Cooperation</t>
  </si>
  <si>
    <t>https://ens.dk/media/6411/download</t>
  </si>
  <si>
    <t>Greece</t>
  </si>
  <si>
    <t>Β. Καλεντζιδης et al. Τιμολόγιο Δημοπράτησης Δήμου Ορεστιάδας Αρ.Μελέτης 14/2018. 2020</t>
  </si>
  <si>
    <t>https://www.orestiada.gr/wp-content/uploads/2020/05/07a.TimologioEAKS.pdf</t>
  </si>
  <si>
    <t xml:space="preserve">79.46 Γενική γραμματεία Ενέργειας και Ορυκτών Πρώτων Υλών. Τεχνική οδηγία Τεχνικού Επιμελητηρίου Ελλάδας Τ.Ο.Τ.Ε.Ε. 20701-2/2017. Θερμοφυσικές ιδιότητες δομικών υλικών και έλεγχος της θερμομονωτικής επάρκειας των κτηρίων. 2017 </t>
  </si>
  <si>
    <t>http://www.kenak.gr/files/TOTEE_20701-2_2017.pdf</t>
  </si>
  <si>
    <t xml:space="preserve">Ελληνικη δη μοκρατια υπουργειο υποδομων και μεταφορων γενικη γραμματεια υποδομων. Κανονισμός Περιγραφικών Τιμολογίων εργασιών. 2017 </t>
  </si>
  <si>
    <t>https://search.et.gr/el/fek/?fekId=551745</t>
  </si>
  <si>
    <t>Ελληνικη δη μοκρατια υπουργειο υποδομων και μεταφορων γενικη γραμματεια υποδομων. Κανονισμός Περιγραφικών Τιμολογίων εργασιών. 2017 https://search.et.gr/el/fek/?fekId=551745</t>
  </si>
  <si>
    <t>Al with TB</t>
  </si>
  <si>
    <t>Wood</t>
  </si>
  <si>
    <t>Αριστοτελειο Πανεπιστημιο Θεσσαλονικησ. Τιμολόγιο Δημοπράτησης Αναβάθμιση του Εργαστηρίου Ανάπτυξης . 2017 https://www.auth.gr/wp-content/uploads/espa_kthniatrikh_2._timologio_1.pdf</t>
  </si>
  <si>
    <t>https://www.auth.gr/wp-content/uploads/espa_kthniatrikh_2._timologio_1.pdf</t>
  </si>
  <si>
    <t xml:space="preserve">Αριστοτελειο Πανεπιστημιο Θεσσαλονικησ. Τιμολόγιο Δημοπράτησης Δήμου Θεσσαλονίκης Αρ_Μελέτης ΔΚΣ 01-2020. 2021 </t>
  </si>
  <si>
    <t>https://thessaloniki.gr/wp-content/uploads/2021/05/2021-077_%CE%A4%CE%99%CE%9C%CE%9F%CE%9B%CE%9F%CE%93%CE%99%CE%9F-%CE%9C%CE%95%CE%9B%CE%95%CE%A4%CE%97%CE%A3.pdf</t>
  </si>
  <si>
    <t xml:space="preserve">Αριστοτελειο Πανεπιστημιο Θεσσαλονικησ. Τιμολόγιο Δημοπράτησης Αναβάθμιση της νέας Φιλοσοφικής. 2021 </t>
  </si>
  <si>
    <t xml:space="preserve">https://www.auth.gr/wp-content/uploads/2.-sign-%CE%A4%CE%99%CE%9C%CE%9F%CE%9B%CE%9F%CE%93%CE%99%CE%9F-%CE%94%CE%97%CE%9C%CE%9F%CE%A0%CE%A1%CE%91%CE%A4%CE%97%CE%A3%CE%97%CE%A3.pdf  </t>
  </si>
  <si>
    <t>Italy</t>
  </si>
  <si>
    <t>Lombardia</t>
  </si>
  <si>
    <t xml:space="preserve">Regione Lombardia. "Prezzario regionale dei lavori pubblici". 2024 </t>
  </si>
  <si>
    <t>https://www.regione.lombardia.it/wps/wcm/connect/fbd4093d-f598-44f6-954b-dd5fd58b1cff/A%29+Parte1.pdf?MOD=AJPERES&amp;CACHEID=ROOTWORKSPACE-fbd4093d-f598-44f6-954b-dd5fd58b1cff-oUt-93w</t>
  </si>
  <si>
    <t>PUR</t>
  </si>
  <si>
    <t>Regione Lombardia. "Prezzario regionale dei lavori pubblici". 2025</t>
  </si>
  <si>
    <t>Regione Lombardia. "Prezzario regionale dei lavori pubblici". 2024</t>
  </si>
  <si>
    <t>Al</t>
  </si>
  <si>
    <t>Regione Lombardia. "Prezzario regionale dei lavori pubblici". 2026</t>
  </si>
  <si>
    <t>Ryland et al. Heating economics evaluated against emissions: An analysis of low-carbon heating systems with spatiotemporal and dwelling variations. 2022</t>
  </si>
  <si>
    <t>https://www.sciencedirect.com/science/article/pii/S037877882200732</t>
  </si>
  <si>
    <t>own estimation based on: 
Fleiter, T., Steinbach, J., Ragwitz, M. 
Mapping and analyses of the current and future (2020 - 2030)
heating/cooling fuel deployment (fossil/renewables). 2016</t>
  </si>
  <si>
    <t>https://ec.europa.eu/energy/sites/ener/files/documents/mapping-hc-final_report-wp2.pdf</t>
  </si>
  <si>
    <t>National Survey Report of PV Power Applications in Italy 2022 Tilli F., Maugeri G., Roca F., Scipioni A. National Survey Report of PV Power Applications in Italy. 2022</t>
  </si>
  <si>
    <t>https://www.gse.it/documenti_site/Documenti%20GSE/Studi%20e%20scenari/National%20Survey%20Report%20PV%20Italy%202022.pdf</t>
  </si>
  <si>
    <t>Estimation based on: 
Fleiter, T., Steinbach, J., Ragwitz, M. 
Mapping and analyses of the current and future (2020 - 2030)
heating/cooling fuel deployment (fossil/renewables). 2016</t>
  </si>
  <si>
    <t>Netherlands</t>
  </si>
  <si>
    <t>Bricknest. Spouwmuur- en gevelisolatie gids: opties en kosten. 2024</t>
  </si>
  <si>
    <t>https://www.bricknest.nl/blog/spouwmuur-en-gevelisolatie-gids-opties-en-kosten</t>
  </si>
  <si>
    <t>Homedeal. Dakrenovatie kosten. 2025</t>
  </si>
  <si>
    <t>https://www.homedeal.nl/dakbedekking/dakrenovatie-kosten/</t>
  </si>
  <si>
    <t>Homedeal. Kozijnen vervangen. 2023</t>
  </si>
  <si>
    <t>https://www.homedeal.nl/kozijnen/kozijnen-vervangen/</t>
  </si>
  <si>
    <t>Homedeal. Kozijnen vervangen. 2024</t>
  </si>
  <si>
    <t>Plastic</t>
  </si>
  <si>
    <t>Homedeal. Kozijnen vervangen. 2025</t>
  </si>
  <si>
    <t>Gerben Willem Jacob Piet. An end-user cost economic- and environmental comparison of alternative heating scenarios
for households in the Netherlands. 2020</t>
  </si>
  <si>
    <t>https://studenttheses.uu.nl/bitstream/handle/20.500.12932/37656/Thesis_G.W.J.PIET_20-08-2020.pdf?sequence=1</t>
  </si>
  <si>
    <t>Bobex.nl. Thermische Zonnepanelen: Info &amp; Prijzen. 2025</t>
  </si>
  <si>
    <t>https://www.bobex.nl/nl-nl/zonnepanelen/thermische-zonnepanelen/#:~:text=voor%20warm%20water.-,Wat%20kosten%20thermische%20zonnepanelen%3F,plaatsing%20en%20btw)</t>
  </si>
  <si>
    <t>Poland</t>
  </si>
  <si>
    <t xml:space="preserve">Radosław Murat. Jak ocieplić ściany zewnętrzne - koszt docieplenia domu murowanego. 2024 </t>
  </si>
  <si>
    <t xml:space="preserve">https://muratordom.pl/budowa/sciany-murowane/jak-ocieplic-sciany-zewnetrzne-koszty-docieplenia-domu-murowanego-aa-mZ3N-gY1L-bn3a.html#source=nces&amp;medium=coll </t>
  </si>
  <si>
    <t>Rafał Zawadzki. Ocieplenie poddasza styropianem czy wełną - kluczowe różnice. 2024</t>
  </si>
  <si>
    <t>https://flookstudio.pl/ocieplenie-poddasza-styropianem-czy-welna-kluczowe-roznice</t>
  </si>
  <si>
    <t>Aneta Wojtczak. Ile kosztuje ocieplenie domu w 2025 roku? 2025</t>
  </si>
  <si>
    <t>https://renowa24.pl/Ile-kosztuje-ocieplenie-domu-w-2024-roku-blog-pol-1636717079.html?srsltid=AfmBOor9-HoUzyxmsX79Hj5uPuuKqMXFj81It7xYNNbwK7tSprHIwsmc#link5</t>
  </si>
  <si>
    <t>Polski Program Finansowania Efektywności Energetycznej w Budynkach Mieszkalnych (PolREFF). Wymiana okien i drzwi. 2025</t>
  </si>
  <si>
    <t>https://polreff.org/poradnik/wymiana-okien-i-drzwi/</t>
  </si>
  <si>
    <t xml:space="preserve">Czepło Filip. Optimization of construction costs and demand for renewable energy in the life cycle of an example building. 2023 </t>
  </si>
  <si>
    <t>http://dx.doi.org/10.5604/01.3001.0053.8499</t>
  </si>
  <si>
    <t xml:space="preserve"> Rzeczpospolita, Instytut Energetyki Odnawialnej. Average unit price of photovoltaic installation depending on power in Poland in 2020. 2020</t>
  </si>
  <si>
    <t>https://www.statista.com/statistics/1124327/poland-average-unit-price-of-pv-installation-depending-on-power/</t>
  </si>
  <si>
    <t>Slovakia</t>
  </si>
  <si>
    <t>Saint-Gobain Weber. Cena za zateplenie domu. 2025</t>
  </si>
  <si>
    <t>https://www.sk.weber/aka-je-cena-zateplenia-domu</t>
  </si>
  <si>
    <t>Saint-Gobain Weber. Cena za zateplenie domu. 2026</t>
  </si>
  <si>
    <t>Slovenskej agentúry životného prostredia. Program Obnov Dom. Kalkulačka predpokladanej výšky príspevku na obnovu rodinného domu. 2025</t>
  </si>
  <si>
    <t>https://obnovdom.sk/</t>
  </si>
  <si>
    <t>Numiq.com. Cena za podlahárske práce. 2025</t>
  </si>
  <si>
    <t>https://numiq.com/sk/stavebne-prace/podlaharske-prace</t>
  </si>
  <si>
    <t>Slovenskej agentúry životného prostredia. Program Obnov Dom. Kalkulačka predpokladanej výšky príspevku na obnovu rodinného domu. 2026</t>
  </si>
  <si>
    <t>Slovenskej agentúry životného prostredia. Program Obnov Dom. Kalkulačka predpokladanej výšky príspevku na obnovu rodinného domu. 2027</t>
  </si>
  <si>
    <t>Slovenskej agentúry životného prostredia. Program Obnov Dom. Kalkulačka predpokladanej výšky príspevku na obnovu rodinného domu. 2028</t>
  </si>
  <si>
    <t>Slovenskej agentúry životného prostredia. Program Obnov Dom. Kalkulačka predpokladanej výšky príspevku na obnovu rodinného domu. 2029</t>
  </si>
  <si>
    <t>Spain</t>
  </si>
  <si>
    <t>Madrid</t>
  </si>
  <si>
    <t xml:space="preserve">Instituto Valenciano de la Edificación. Base de Datos de Construcción. ENTA.1abcaaa. 2024 </t>
  </si>
  <si>
    <t>https://bdc.f-ive.es/</t>
  </si>
  <si>
    <t>ENTA.1abcaaa Instituto Valenciano de la Edificación. Base de Datos de Construcción. 2024</t>
  </si>
  <si>
    <t>ENTA.1bbcaaa Instituto Valenciano de la Edificación. Base de Datos de Construcción. 2024</t>
  </si>
  <si>
    <t>EQAV.2aaaa Instituto Valenciano de la Edificación. Base de Datos de Construcción. 2024</t>
  </si>
  <si>
    <t>EQAV.2ahaa EQAV.2aaaa Instituto Valenciano de la Edificación. Base de Datos de Construcción. 2024</t>
  </si>
  <si>
    <t>EQAV.2alaa EQAV.2aaaa Instituto Valenciano de la Edificación. Base de Datos de Construcción. 2024</t>
  </si>
  <si>
    <t>Instituto Valenciano de la Edificación. Base de Datos de Construcción. 2024</t>
  </si>
  <si>
    <t>Latvia</t>
  </si>
  <si>
    <t>brigada.lv. Remonta darbu cenas 2025. 2025</t>
  </si>
  <si>
    <t>https://brigada.lv/buvdarbu-izmaksas/</t>
  </si>
  <si>
    <t>brigada.lv. Remonta darbu cenas 2025. 2026</t>
  </si>
  <si>
    <t>brigada.lv. Remonta darbu cenas 2025. 2027</t>
  </si>
  <si>
    <t>Finland</t>
  </si>
  <si>
    <t>Niemelä, T., Levy, C., Kosonen, R., &amp; Jokisalo, J. Cost-optimal renovation solutions to maximize environmental performance, indoor thermal conditions and productivity of office buildings in cold climate. 2017</t>
  </si>
  <si>
    <t>https://doi.org/10.1016/j.scs.2017.04.009</t>
  </si>
  <si>
    <t>Eemil Kraft on Urakkadiili. How much does it cost to insulate a cottage floor? 2022</t>
  </si>
  <si>
    <t>https://urakkadiili.fi/mokin-lattian-eristys-hinta#kuinka-paljon-mokin-lattian-eristaminen-maksaa</t>
  </si>
  <si>
    <t>Esa Pursiheimo, Tomi J. Lindroos, Dennis Sundell, Miika Rämä, Ville Tulkki. Optimal investment analysis for heat pumps and nuclear heat in decarbonised Helsinki metropolitan district heating system. 2022</t>
  </si>
  <si>
    <t>https://doi.org/10.1016/j.enss.2022.03.001</t>
  </si>
  <si>
    <t xml:space="preserve">Johannes Hyvönen, Taro Mori, Juha Saunavaara, Pauli Hiltunen, Matti Pärssinen, Sanna Syri. Potential of solar photovoltaics and waste heat utilization in cold climate data centers. Case study: Finland and northern Japan. 2024 </t>
  </si>
  <si>
    <t>https://doi.org/10.1016/j.rser.2024.114619</t>
  </si>
  <si>
    <t>Suomirakentaa. Aurinko ja tuuli energialähteinä. 2025</t>
  </si>
  <si>
    <t>https://www.suomirakentaa.fi/omakotirakentaja/laemmitys/aurinko-ja-tuuli-energialahteina</t>
  </si>
  <si>
    <t>Romania</t>
  </si>
  <si>
    <t>Daibau.ro, Izolație exterioară - Preț fațadă casă 2025, 2025</t>
  </si>
  <si>
    <t>https://www.daibau.ro/preturi/fatade_case</t>
  </si>
  <si>
    <t xml:space="preserve">Daibau.ro., Preț manoperă acoperiș 2025 </t>
  </si>
  <si>
    <t>https://www.daibau.ro/preta/acoperisuri</t>
  </si>
  <si>
    <t>Ferestre direct.ro, Prețuri pentru ferestre termopane în 2025: la ce să fiți atenți?, 2025</t>
  </si>
  <si>
    <t>https://ferestredirect.ro/ro/blog-articole/preturi-ferestre-termopan-2025</t>
  </si>
  <si>
    <t>daibau.ro,Pompă de căldură preț, 2025</t>
  </si>
  <si>
    <t>https://www.daibau.ro/preturi/pompa_de_caldura</t>
  </si>
  <si>
    <t>Evolty. Cena solárních panelů 2024. 2025</t>
  </si>
  <si>
    <t>Noman Shabbir et al. Techno-economic analysis and energy forecasting study of domestic and commercial photovoltaic system installations in Estonia. 2022</t>
  </si>
  <si>
    <t>https://doi.org/10.1016/j.energy.2022.124156</t>
  </si>
  <si>
    <t xml:space="preserve">Kuusk, K.,  Kalamees, T. Retrofit cost-effectiveness: Estonian apartment buildings.  2015
</t>
  </si>
  <si>
    <t>https://doi.org/10.1080/09613218.2016.1103117</t>
  </si>
  <si>
    <t>Belgium</t>
  </si>
  <si>
    <t>N. Baudoux. Construction, renovation: discover the evolution of the price of materials, room by room. 2023</t>
  </si>
  <si>
    <t>https://multimedia.lecho.be/immobilier-construction-renovation-prix-materiaux/</t>
  </si>
  <si>
    <t>myrenov. Thermal insulation for your roof: complete guide. 2025</t>
  </si>
  <si>
    <t>https://myrenov.be/en/energy-renovation/insulation/roof/</t>
  </si>
  <si>
    <t>myrenov. Insulating the walls of your home: the complete guide. 2025</t>
  </si>
  <si>
    <t>https://myrenov.be/en/energy-renovation/insulation/walls/</t>
  </si>
  <si>
    <t>myrenov. Garage, cellar, floors: how to insulate the slab below. 2025</t>
  </si>
  <si>
    <t>https://myrenov.be/en/energy-renovation/insulation/floor/</t>
  </si>
  <si>
    <t>https://homeskillz.com/en/pompe-a-chaleur/</t>
  </si>
  <si>
    <t>HomeSkillz. Heat pump installation in Belgium: standards and regulations. 2025</t>
  </si>
  <si>
    <t>Morgane Mignolet. How much does a gas boiler cost and which type should you choose? 2024</t>
  </si>
  <si>
    <t>https://www.energyprice.be/blog/how-much-does-a-gas-boiler-cost-which-type-to-choose</t>
  </si>
  <si>
    <t>Remppatori. Oletko eristämässä taloasi? 2025</t>
  </si>
  <si>
    <t>https://remppatori.fi/talo-ja-piha/eristys</t>
  </si>
  <si>
    <t>HomeSkillz. Installation of solar panels in belgium: standards, regulations and practical advice. 2025</t>
  </si>
  <si>
    <t>https://homeskillz.com/en/panneaux-solaires/</t>
  </si>
  <si>
    <t>Solvari.Chauffage solaire. 2025</t>
  </si>
  <si>
    <t>https://www.panneausolaire-info.be/chauffage-solaire</t>
  </si>
  <si>
    <t>Бизнес новините. Каква сума трябва да подготвим, за да си инсталираме слънчеви панели? 2023</t>
  </si>
  <si>
    <t>https://businessnovinite.bg/bg-biznes/kakva-suma-trjabva-da-podgotvim-za-da-si-instalirame-slanchevi-paneli.html</t>
  </si>
  <si>
    <t>https://evolty.cz/solarni-panely/cena-solarnich-panelu/</t>
  </si>
  <si>
    <t>Hello watt. Prix et rentabilité d’une installation solaire. 2025</t>
  </si>
  <si>
    <t>https://www.hellowatt.fr/panneaux-solaires-photovoltaiques/</t>
  </si>
  <si>
    <t>SunCharged. Solar Panels. 2025</t>
  </si>
  <si>
    <t>https://www.suncharged.nl/solar-panels</t>
  </si>
  <si>
    <t>https://www.eon.ro/panouri-fotovoltaice-clienti-casnici</t>
  </si>
  <si>
    <t>E.ON. Prinde oferta la sistemele fotovoltaice. 2025</t>
  </si>
  <si>
    <t>Germany</t>
  </si>
  <si>
    <t>Thilo Koch, Samuel Achenbach, André Müller,  Anpassung der Kostenfunktionen energierelevanter Bauund Anlagenteile bei der energetischen Modernisierung, 2024</t>
  </si>
  <si>
    <t>https://www.researchgate.net/publication/383122317_Anpassung_der_Kostenfunktionen_energierelevanter_Bau-_und_Anlagenteile_bei_der_energetischen_Modernisierung_von_Altbauten_auf_das_Preisniveau_2022_und_2023_Working_Paper</t>
  </si>
  <si>
    <t>Note:</t>
  </si>
  <si>
    <t>Price depends on thickness. 10cm is an estimate. MW lambda value was taken from Rockwool website: https://rti.rockwool.com/applications/marine-and-offshore/comfort/basic-theory/</t>
  </si>
  <si>
    <t>Price depends on thickness. 16cm is an estimate. MW lambda value was taken from Rockwool website: https://rti.rockwool.com/applications/marine-and-offshore/comfort/basic-theory/</t>
  </si>
  <si>
    <t>Price depends on thickness. 10cm is an estimate. MW lambda value was taken from Ursa website: https://ursa.it/prodotto/ursa-xps-niii-l/</t>
  </si>
  <si>
    <t>Deutsche Energie-Agentur GmbH, Technikkatalog Wärmeplanung, 2024</t>
  </si>
  <si>
    <t>https://view.officeapps.live.com/op/view.aspx?src=https%3A%2F%2Fapi.kww-halle.de%2Ffileadmin%2Fuser_upload%2FTechnikkatalog_W%25C3%25A4rmeplanung_Version_1.1_August24_CC-BY.xlsx&amp;wdOrigin=BROWSELINK</t>
  </si>
  <si>
    <t>0</t>
  </si>
  <si>
    <t>Ireland</t>
  </si>
  <si>
    <t>M. Keane. How Much Does It Cost to Insulate a House in Ireland? 2023</t>
  </si>
  <si>
    <t>https://buildpro.ie/blog/cost-to-insulate-house-ireland</t>
  </si>
  <si>
    <t>https://osber.ie/how-much-does-it-cost-to-insulate-a-house-in-ireland/</t>
  </si>
  <si>
    <t>OSBER. How much does it cost to insulate a house in Ireland? 2025</t>
  </si>
  <si>
    <t>window24.ie. Window Replacement Cost. 2025</t>
  </si>
  <si>
    <t>https://www.window24.ie/window-prices/window-replacement-cost/#:~:text=Table_title:%20How%20much%20do%20replacement%20windows%20cost?,per%20window:%20Average%20cost%20per%20window%20%7C</t>
  </si>
  <si>
    <t>https://energyefficiency.ie/heat-pumps/heat-pump-cost-calculator/</t>
  </si>
  <si>
    <t>energyefficiency.ie. Heat Pump Cost Calculator. 2025</t>
  </si>
  <si>
    <t>https://dublin-gasboilers.ie/gas-boiler-replacement-dublin/</t>
  </si>
  <si>
    <t>Dublin gasboiler. Gas Boiler Replacement. 2024</t>
  </si>
  <si>
    <t>Dean et al. Modelling solar photovoltaic systems on dairy farms for cost savings and GHG emission reduction. 2024</t>
  </si>
  <si>
    <t>https://doi.org/10.1016/j.scitotenv.2024.174874</t>
  </si>
  <si>
    <t xml:space="preserve">SEAI. A Homeowner’s Guide To Solar Thermal For Hot Water. 2019 </t>
  </si>
  <si>
    <t>https://www.seai.ie/sites/default/files/publications/Homeowners-Guide-To-Solar-Thermal.pdf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</si>
</sst>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44" fontId="0" fillId="0" borderId="2" xfId="1" applyFont="1" applyBorder="1" applyAlignment="1">
      <alignment vertical="center"/>
    </xf>
    <xf numFmtId="0" fontId="0" fillId="0" borderId="3" xfId="0" applyBorder="1" applyAlignment="1">
      <alignment vertical="center"/>
    </xf>
    <xf numFmtId="44" fontId="0" fillId="0" borderId="0" xfId="1" applyFont="1" applyBorder="1" applyAlignment="1">
      <alignment vertical="center"/>
    </xf>
    <xf numFmtId="44" fontId="0" fillId="2" borderId="0" xfId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4" fontId="0" fillId="0" borderId="5" xfId="1" applyFont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" fillId="0" borderId="5" xfId="2" applyBorder="1" applyAlignment="1">
      <alignment vertical="center"/>
    </xf>
    <xf numFmtId="44" fontId="0" fillId="2" borderId="2" xfId="1" applyFont="1" applyFill="1" applyBorder="1" applyAlignment="1">
      <alignment vertical="center"/>
    </xf>
    <xf numFmtId="0" fontId="4" fillId="0" borderId="2" xfId="2" applyBorder="1" applyAlignment="1">
      <alignment vertical="center"/>
    </xf>
    <xf numFmtId="0" fontId="4" fillId="0" borderId="0" xfId="2" applyBorder="1" applyAlignment="1">
      <alignment vertical="center"/>
    </xf>
    <xf numFmtId="0" fontId="5" fillId="0" borderId="0" xfId="0" applyFont="1"/>
    <xf numFmtId="44" fontId="0" fillId="2" borderId="5" xfId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0" xfId="2" applyAlignment="1">
      <alignment vertical="center"/>
    </xf>
    <xf numFmtId="44" fontId="0" fillId="0" borderId="0" xfId="1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NumberForma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4" fillId="0" borderId="2" xfId="2" applyBorder="1"/>
    <xf numFmtId="0" fontId="4" fillId="0" borderId="0" xfId="2" applyBorder="1"/>
    <xf numFmtId="0" fontId="4" fillId="0" borderId="5" xfId="2" applyBorder="1"/>
  </cellXfs>
  <cellStyles count="5">
    <cellStyle name="Currency" xfId="1" builtinId="4"/>
    <cellStyle name="Currency 2" xfId="3" xr:uid="{63C9819F-46CB-034D-A106-43D81EE6D76A}"/>
    <cellStyle name="Hyperlink" xfId="2" builtinId="8"/>
    <cellStyle name="Normal" xfId="0" builtinId="0"/>
    <cellStyle name="Normal 2" xfId="4" xr:uid="{A265AE39-1B40-7645-A232-F9FD65E0E9D3}"/>
  </cellStyles>
  <dxfs count="1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Vs" id="{EB82F14C-35F8-8E43-9D3C-4EA389100252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42EC9-25C4-EF4C-A73D-2B28E68D3113}" name="Table1" displayName="Table1" ref="A1:O198" totalsRowShown="0" headerRowDxfId="18" dataDxfId="16" headerRowBorderDxfId="17" tableBorderDxfId="15">
  <autoFilter ref="A1:O198" xr:uid="{70142EC9-25C4-EF4C-A73D-2B28E68D3113}"/>
  <tableColumns count="15">
    <tableColumn id="15" xr3:uid="{C955C371-AC5F-47B4-AF3B-EF036F92CC61}" name="0" dataDxfId="14">
      <calculatedColumnFormula>IF(B2=B1,A1,A1+1)</calculatedColumnFormula>
    </tableColumn>
    <tableColumn id="1" xr3:uid="{2F279A31-68DC-DD4F-B2B5-3E461931A78F}" name="Country" dataDxfId="13"/>
    <tableColumn id="2" xr3:uid="{C64A64B6-CF64-1E41-989C-8DB6651D80A4}" name="Region" dataDxfId="12"/>
    <tableColumn id="3" xr3:uid="{1F8F81BC-F56F-BC4F-9E3E-C990F4AB2CAF}" name="Renovation work" dataDxfId="11"/>
    <tableColumn id="4" xr3:uid="{2B5DC813-08B7-474F-A15C-4BAEE3AE915D}" name="Material" dataDxfId="10"/>
    <tableColumn id="5" xr3:uid="{EF8323E7-DDFC-0141-908E-9733C7AADEFA}" name="Thickness [cm]" dataDxfId="9"/>
    <tableColumn id="6" xr3:uid="{6CF180A0-6A02-DD4F-80D3-3979799C283F}" name="Lambda [mK/W]" dataDxfId="8"/>
    <tableColumn id="7" xr3:uid="{75027969-6ADB-B340-988E-E7CDA0EE058E}" name="Uw [W/m2K]" dataDxfId="7"/>
    <tableColumn id="8" xr3:uid="{7F742A70-DDFD-3341-A257-E41B5268C39F}" name="Power [kW]" dataDxfId="6"/>
    <tableColumn id="9" xr3:uid="{186F7175-BA41-FC49-974E-92A94D1C75DB}" name="Solar collector area [m2]" dataDxfId="5"/>
    <tableColumn id="10" xr3:uid="{BC131C0E-44BA-B64E-87F0-26ABE8C62AB7}" name="Capacity [l]" dataDxfId="4"/>
    <tableColumn id="11" xr3:uid="{5862F392-D87F-EF41-840D-FB6238044C40}" name="Price [€/m2]" dataDxfId="3"/>
    <tableColumn id="12" xr3:uid="{32796EB3-E1C7-7B4F-8777-3171822292D2}" name="Price [€]" dataDxfId="2"/>
    <tableColumn id="13" xr3:uid="{909E6B54-7904-E343-82CC-348CFD08BB27}" name="Source Author, Title, Year" dataDxfId="1"/>
    <tableColumn id="14" xr3:uid="{41227B47-6FCF-4F49-83D4-84E655C3E1EE}" name="Source link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21" Type="http://schemas.openxmlformats.org/officeDocument/2006/relationships/hyperlink" Target="https://search.et.gr/el/fek/?fekId=551745" TargetMode="External"/><Relationship Id="rId42" Type="http://schemas.openxmlformats.org/officeDocument/2006/relationships/hyperlink" Target="https://studenttheses.uu.nl/bitstream/handle/20.500.12932/37656/Thesis_G.W.J.PIET_20-08-2020.pdf?sequence=1" TargetMode="External"/><Relationship Id="rId63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84" Type="http://schemas.openxmlformats.org/officeDocument/2006/relationships/hyperlink" Target="https://brigada.lv/buvdarbu-izmaksas/" TargetMode="External"/><Relationship Id="rId16" Type="http://schemas.openxmlformats.org/officeDocument/2006/relationships/hyperlink" Target="https://vbn.aau.dk/en/publications/b70d844a-bf8e-483a-8895-9f90f1100262" TargetMode="External"/><Relationship Id="rId107" Type="http://schemas.openxmlformats.org/officeDocument/2006/relationships/hyperlink" Target="https://www.panneausolaire-info.be/chauffage-solaire" TargetMode="External"/><Relationship Id="rId11" Type="http://schemas.openxmlformats.org/officeDocument/2006/relationships/hyperlink" Target="https://vbn.aau.dk/en/publications/b70d844a-bf8e-483a-8895-9f90f1100262" TargetMode="External"/><Relationship Id="rId32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37" Type="http://schemas.openxmlformats.org/officeDocument/2006/relationships/hyperlink" Target="https://www.bricknest.nl/blog/spouwmuur-en-gevelisolatie-gids-opties-en-kosten" TargetMode="External"/><Relationship Id="rId53" Type="http://schemas.openxmlformats.org/officeDocument/2006/relationships/hyperlink" Target="https://www.sk.weber/aka-je-cena-zateplenia-domu" TargetMode="External"/><Relationship Id="rId58" Type="http://schemas.openxmlformats.org/officeDocument/2006/relationships/hyperlink" Target="https://obnovdom.sk/" TargetMode="External"/><Relationship Id="rId74" Type="http://schemas.openxmlformats.org/officeDocument/2006/relationships/hyperlink" Target="https://bdc.f-ive.es/" TargetMode="External"/><Relationship Id="rId79" Type="http://schemas.openxmlformats.org/officeDocument/2006/relationships/hyperlink" Target="https://bdc.f-ive.es/" TargetMode="External"/><Relationship Id="rId102" Type="http://schemas.openxmlformats.org/officeDocument/2006/relationships/hyperlink" Target="https://myrenov.be/en/energy-renovation/insulation/floor/" TargetMode="External"/><Relationship Id="rId123" Type="http://schemas.openxmlformats.org/officeDocument/2006/relationships/hyperlink" Target="https://osber.ie/how-much-does-it-cost-to-insulate-a-house-in-ireland/" TargetMode="External"/><Relationship Id="rId128" Type="http://schemas.openxmlformats.org/officeDocument/2006/relationships/hyperlink" Target="https://doi.org/10.1016/j.scitotenv.2024.174874" TargetMode="External"/><Relationship Id="rId5" Type="http://schemas.openxmlformats.org/officeDocument/2006/relationships/hyperlink" Target="https://www.cae-eco.fr/analyse-socio-economique-de-la-renovation-energetique-des-logements" TargetMode="External"/><Relationship Id="rId90" Type="http://schemas.openxmlformats.org/officeDocument/2006/relationships/hyperlink" Target="https://doi.org/10.1016/j.enss.2022.03.001" TargetMode="External"/><Relationship Id="rId95" Type="http://schemas.openxmlformats.org/officeDocument/2006/relationships/hyperlink" Target="https://ferestredirect.ro/ro/blog-articole/preturi-ferestre-termopan-2025" TargetMode="External"/><Relationship Id="rId22" Type="http://schemas.openxmlformats.org/officeDocument/2006/relationships/hyperlink" Target="https://search.et.gr/el/fek/?fekId=551745" TargetMode="External"/><Relationship Id="rId27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3" Type="http://schemas.openxmlformats.org/officeDocument/2006/relationships/hyperlink" Target="https://www.bobex.nl/nl-nl/zonnepanelen/thermische-zonnepanelen/" TargetMode="External"/><Relationship Id="rId48" Type="http://schemas.openxmlformats.org/officeDocument/2006/relationships/hyperlink" Target="http://dx.doi.org/10.5604/01.3001.0053.8499" TargetMode="External"/><Relationship Id="rId64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69" Type="http://schemas.openxmlformats.org/officeDocument/2006/relationships/hyperlink" Target="https://bdc.f-ive.es/" TargetMode="External"/><Relationship Id="rId113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18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80" Type="http://schemas.openxmlformats.org/officeDocument/2006/relationships/hyperlink" Target="https://bdc.f-ive.es/" TargetMode="External"/><Relationship Id="rId85" Type="http://schemas.openxmlformats.org/officeDocument/2006/relationships/hyperlink" Target="https://brigada.lv/buvdarbu-izmaksas/" TargetMode="External"/><Relationship Id="rId12" Type="http://schemas.openxmlformats.org/officeDocument/2006/relationships/hyperlink" Target="https://byggefokus.dk/isolering-af-tag/" TargetMode="External"/><Relationship Id="rId17" Type="http://schemas.openxmlformats.org/officeDocument/2006/relationships/hyperlink" Target="https://vbn.aau.dk/en/publications/b70d844a-bf8e-483a-8895-9f90f1100262" TargetMode="External"/><Relationship Id="rId33" Type="http://schemas.openxmlformats.org/officeDocument/2006/relationships/hyperlink" Target="https://www.sciencedirect.com/science/article/pii/S037877882200732" TargetMode="External"/><Relationship Id="rId38" Type="http://schemas.openxmlformats.org/officeDocument/2006/relationships/hyperlink" Target="https://www.homedeal.nl/dakbedekking/dakrenovatie-kosten/" TargetMode="External"/><Relationship Id="rId59" Type="http://schemas.openxmlformats.org/officeDocument/2006/relationships/hyperlink" Target="https://obnovdom.sk/" TargetMode="External"/><Relationship Id="rId103" Type="http://schemas.openxmlformats.org/officeDocument/2006/relationships/hyperlink" Target="https://homeskillz.com/en/pompe-a-chaleur/" TargetMode="External"/><Relationship Id="rId108" Type="http://schemas.openxmlformats.org/officeDocument/2006/relationships/hyperlink" Target="https://www.daibau.bg/ceni/slanchevi_elektrotsentrali" TargetMode="External"/><Relationship Id="rId124" Type="http://schemas.openxmlformats.org/officeDocument/2006/relationships/hyperlink" Target="https://osber.ie/how-much-does-it-cost-to-insulate-a-house-in-ireland/" TargetMode="External"/><Relationship Id="rId129" Type="http://schemas.openxmlformats.org/officeDocument/2006/relationships/hyperlink" Target="https://www.seai.ie/sites/default/files/publications/Homeowners-Guide-To-Solar-Thermal.pdf" TargetMode="External"/><Relationship Id="rId54" Type="http://schemas.openxmlformats.org/officeDocument/2006/relationships/hyperlink" Target="https://obnovdom.sk/" TargetMode="External"/><Relationship Id="rId70" Type="http://schemas.openxmlformats.org/officeDocument/2006/relationships/hyperlink" Target="https://bdc.f-ive.es/" TargetMode="External"/><Relationship Id="rId75" Type="http://schemas.openxmlformats.org/officeDocument/2006/relationships/hyperlink" Target="https://bdc.f-ive.es/" TargetMode="External"/><Relationship Id="rId91" Type="http://schemas.openxmlformats.org/officeDocument/2006/relationships/hyperlink" Target="https://doi.org/10.1016/j.rser.2024.114619" TargetMode="External"/><Relationship Id="rId96" Type="http://schemas.openxmlformats.org/officeDocument/2006/relationships/hyperlink" Target="https://doi.org/10.1016/j.energy.2022.124156" TargetMode="External"/><Relationship Id="rId1" Type="http://schemas.openxmlformats.org/officeDocument/2006/relationships/hyperlink" Target="https://rtscloud.cz/App/RTS-Data/KKPTree_OBJ6_KPR487" TargetMode="External"/><Relationship Id="rId6" Type="http://schemas.openxmlformats.org/officeDocument/2006/relationships/hyperlink" Target="https://www.cae-eco.fr/analyse-socio-economique-de-la-renovation-energetique-des-logements" TargetMode="External"/><Relationship Id="rId23" Type="http://schemas.openxmlformats.org/officeDocument/2006/relationships/hyperlink" Target="https://search.et.gr/el/fek/?fekId=551745" TargetMode="External"/><Relationship Id="rId28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9" Type="http://schemas.openxmlformats.org/officeDocument/2006/relationships/hyperlink" Target="https://polreff.org/poradnik/wymiana-okien-i-drzwi/" TargetMode="External"/><Relationship Id="rId114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19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44" Type="http://schemas.openxmlformats.org/officeDocument/2006/relationships/hyperlink" Target="https://muratordom.pl/budowa/sciany-murowane/jak-ocieplic-sciany-zewnetrzne-koszty-docieplenia-domu-murowanego-aa-mZ3N-gY1L-bn3a.html" TargetMode="External"/><Relationship Id="rId60" Type="http://schemas.openxmlformats.org/officeDocument/2006/relationships/hyperlink" Target="https://obnovdom.sk/" TargetMode="External"/><Relationship Id="rId65" Type="http://schemas.openxmlformats.org/officeDocument/2006/relationships/hyperlink" Target="https://bdc.f-ive.es/" TargetMode="External"/><Relationship Id="rId81" Type="http://schemas.openxmlformats.org/officeDocument/2006/relationships/hyperlink" Target="https://bdc.f-ive.es/" TargetMode="External"/><Relationship Id="rId86" Type="http://schemas.openxmlformats.org/officeDocument/2006/relationships/hyperlink" Target="https://brigada.lv/buvdarbu-izmaksas/" TargetMode="External"/><Relationship Id="rId130" Type="http://schemas.openxmlformats.org/officeDocument/2006/relationships/vmlDrawing" Target="../drawings/vmlDrawing1.vml"/><Relationship Id="rId13" Type="http://schemas.openxmlformats.org/officeDocument/2006/relationships/hyperlink" Target="https://ens.dk/media/6411/download" TargetMode="External"/><Relationship Id="rId18" Type="http://schemas.openxmlformats.org/officeDocument/2006/relationships/hyperlink" Target="https://vbn.aau.dk/en/publications/b70d844a-bf8e-483a-8895-9f90f1100262" TargetMode="External"/><Relationship Id="rId39" Type="http://schemas.openxmlformats.org/officeDocument/2006/relationships/hyperlink" Target="https://www.homedeal.nl/dakbedekking/dakrenovatie-kosten/" TargetMode="External"/><Relationship Id="rId109" Type="http://schemas.openxmlformats.org/officeDocument/2006/relationships/hyperlink" Target="https://evolty.cz/solarni-panely/cena-solarnich-panelu/" TargetMode="External"/><Relationship Id="rId34" Type="http://schemas.openxmlformats.org/officeDocument/2006/relationships/hyperlink" Target="https://ec.europa.eu/energy/sites/ener/files/documents/mapping-hc-final_report-wp2.pdf" TargetMode="External"/><Relationship Id="rId50" Type="http://schemas.openxmlformats.org/officeDocument/2006/relationships/hyperlink" Target="https://www.statista.com/statistics/1124327/poland-average-unit-price-of-pv-installation-depending-on-power/" TargetMode="External"/><Relationship Id="rId55" Type="http://schemas.openxmlformats.org/officeDocument/2006/relationships/hyperlink" Target="https://numiq.com/sk/stavebne-prace/podlaharske-prace" TargetMode="External"/><Relationship Id="rId76" Type="http://schemas.openxmlformats.org/officeDocument/2006/relationships/hyperlink" Target="https://bdc.f-ive.es/" TargetMode="External"/><Relationship Id="rId97" Type="http://schemas.openxmlformats.org/officeDocument/2006/relationships/hyperlink" Target="https://doi.org/10.1080/09613218.2016.1103117" TargetMode="External"/><Relationship Id="rId104" Type="http://schemas.openxmlformats.org/officeDocument/2006/relationships/hyperlink" Target="https://www.energyprice.be/blog/how-much-does-a-gas-boiler-cost-which-type-to-choose" TargetMode="External"/><Relationship Id="rId120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25" Type="http://schemas.openxmlformats.org/officeDocument/2006/relationships/hyperlink" Target="https://www.window24.ie/window-prices/window-replacement-cost/" TargetMode="External"/><Relationship Id="rId7" Type="http://schemas.openxmlformats.org/officeDocument/2006/relationships/hyperlink" Target="https://www.effinergie.org/web/images/attach/base_doc/2912/20210429etude-renovation.pdf" TargetMode="External"/><Relationship Id="rId71" Type="http://schemas.openxmlformats.org/officeDocument/2006/relationships/hyperlink" Target="https://bdc.f-ive.es/" TargetMode="External"/><Relationship Id="rId92" Type="http://schemas.openxmlformats.org/officeDocument/2006/relationships/hyperlink" Target="https://www.suomirakentaa.fi/omakotirakentaja/laemmitys/aurinko-ja-tuuli-energialahteina" TargetMode="External"/><Relationship Id="rId2" Type="http://schemas.openxmlformats.org/officeDocument/2006/relationships/hyperlink" Target="http://dx.doi.org/10.1016/j.energy.2017.06.160" TargetMode="External"/><Relationship Id="rId29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24" Type="http://schemas.openxmlformats.org/officeDocument/2006/relationships/hyperlink" Target="https://www.auth.gr/wp-content/uploads/espa_kthniatrikh_2._timologio_1.pdf" TargetMode="External"/><Relationship Id="rId40" Type="http://schemas.openxmlformats.org/officeDocument/2006/relationships/hyperlink" Target="https://www.homedeal.nl/kozijnen/kozijnen-vervangen/" TargetMode="External"/><Relationship Id="rId45" Type="http://schemas.openxmlformats.org/officeDocument/2006/relationships/hyperlink" Target="https://flookstudio.pl/ocieplenie-poddasza-styropianem-czy-welna-kluczowe-roznice" TargetMode="External"/><Relationship Id="rId66" Type="http://schemas.openxmlformats.org/officeDocument/2006/relationships/hyperlink" Target="https://bdc.f-ive.es/" TargetMode="External"/><Relationship Id="rId87" Type="http://schemas.openxmlformats.org/officeDocument/2006/relationships/hyperlink" Target="https://doi.org/10.1016/j.scs.2017.04.009" TargetMode="External"/><Relationship Id="rId110" Type="http://schemas.openxmlformats.org/officeDocument/2006/relationships/hyperlink" Target="https://www.suncharged.nl/solar-panels" TargetMode="External"/><Relationship Id="rId115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31" Type="http://schemas.openxmlformats.org/officeDocument/2006/relationships/table" Target="../tables/table1.xml"/><Relationship Id="rId61" Type="http://schemas.openxmlformats.org/officeDocument/2006/relationships/hyperlink" Target="https://www.homedeal.nl/kozijnen/kozijnen-vervangen/" TargetMode="External"/><Relationship Id="rId82" Type="http://schemas.openxmlformats.org/officeDocument/2006/relationships/hyperlink" Target="https://www.daibau.bg/ceni/izolatsiya_na_mansarda" TargetMode="External"/><Relationship Id="rId19" Type="http://schemas.openxmlformats.org/officeDocument/2006/relationships/hyperlink" Target="https://www.orestiada.gr/wp-content/uploads/2020/05/07a.TimologioEAKS.pdf" TargetMode="External"/><Relationship Id="rId14" Type="http://schemas.openxmlformats.org/officeDocument/2006/relationships/hyperlink" Target="https://vbn.aau.dk/en/publications/b70d844a-bf8e-483a-8895-9f90f1100262" TargetMode="External"/><Relationship Id="rId30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35" Type="http://schemas.openxmlformats.org/officeDocument/2006/relationships/hyperlink" Target="https://www.gse.it/documenti_site/Documenti%20GSE/Studi%20e%20scenari/National%20Survey%20Report%20PV%20Italy%202022.pdf" TargetMode="External"/><Relationship Id="rId56" Type="http://schemas.openxmlformats.org/officeDocument/2006/relationships/hyperlink" Target="https://obnovdom.sk/" TargetMode="External"/><Relationship Id="rId77" Type="http://schemas.openxmlformats.org/officeDocument/2006/relationships/hyperlink" Target="https://bdc.f-ive.es/" TargetMode="External"/><Relationship Id="rId100" Type="http://schemas.openxmlformats.org/officeDocument/2006/relationships/hyperlink" Target="https://myrenov.be/en/energy-renovation/insulation/walls/" TargetMode="External"/><Relationship Id="rId105" Type="http://schemas.openxmlformats.org/officeDocument/2006/relationships/hyperlink" Target="https://remppatori.fi/talo-ja-piha/eristys" TargetMode="External"/><Relationship Id="rId126" Type="http://schemas.openxmlformats.org/officeDocument/2006/relationships/hyperlink" Target="https://energyefficiency.ie/heat-pumps/heat-pump-cost-calculator/" TargetMode="External"/><Relationship Id="rId8" Type="http://schemas.openxmlformats.org/officeDocument/2006/relationships/hyperlink" Target="https://www.effinergie.org/web/images/attach/base_doc/2912/20210429etude-renovation.pdf" TargetMode="External"/><Relationship Id="rId51" Type="http://schemas.openxmlformats.org/officeDocument/2006/relationships/hyperlink" Target="https://polreff.org/poradnik/wymiana-okien-i-drzwi/" TargetMode="External"/><Relationship Id="rId72" Type="http://schemas.openxmlformats.org/officeDocument/2006/relationships/hyperlink" Target="https://bdc.f-ive.es/" TargetMode="External"/><Relationship Id="rId93" Type="http://schemas.openxmlformats.org/officeDocument/2006/relationships/hyperlink" Target="https://www.daibau.ro/preturi/fatade_case" TargetMode="External"/><Relationship Id="rId98" Type="http://schemas.openxmlformats.org/officeDocument/2006/relationships/hyperlink" Target="https://myrenov.be/en/energy-renovation/insulation/roof/" TargetMode="External"/><Relationship Id="rId121" Type="http://schemas.openxmlformats.org/officeDocument/2006/relationships/hyperlink" Target="https://buildpro.ie/blog/cost-to-insulate-house-ireland" TargetMode="External"/><Relationship Id="rId3" Type="http://schemas.openxmlformats.org/officeDocument/2006/relationships/hyperlink" Target="http://dx.doi.org/10.1016/j.energy.2017.06.160" TargetMode="External"/><Relationship Id="rId25" Type="http://schemas.openxmlformats.org/officeDocument/2006/relationships/hyperlink" Target="https://thessaloniki.gr/wp-content/uploads/2021/05/2021-077_%CE%A4%CE%99%CE%9C%CE%9F%CE%9B%CE%9F%CE%93%CE%99%CE%9F-%CE%9C%CE%95%CE%9B%CE%95%CE%A4%CE%97%CE%A3.pdf" TargetMode="External"/><Relationship Id="rId46" Type="http://schemas.openxmlformats.org/officeDocument/2006/relationships/hyperlink" Target="https://renowa24.pl/Ile-kosztuje-ocieplenie-domu-w-2024-roku-blog-pol-1636717079.html?srsltid=AfmBOor9-HoUzyxmsX79Hj5uPuuKqMXFj81It7xYNNbwK7tSprHIwsmc" TargetMode="External"/><Relationship Id="rId67" Type="http://schemas.openxmlformats.org/officeDocument/2006/relationships/hyperlink" Target="https://bdc.f-ive.es/" TargetMode="External"/><Relationship Id="rId116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20" Type="http://schemas.openxmlformats.org/officeDocument/2006/relationships/hyperlink" Target="http://www.kenak.gr/files/TOTEE_20701-2_2017.pdf" TargetMode="External"/><Relationship Id="rId41" Type="http://schemas.openxmlformats.org/officeDocument/2006/relationships/hyperlink" Target="https://studenttheses.uu.nl/bitstream/handle/20.500.12932/37656/Thesis_G.W.J.PIET_20-08-2020.pdf?sequence=1" TargetMode="External"/><Relationship Id="rId62" Type="http://schemas.openxmlformats.org/officeDocument/2006/relationships/hyperlink" Target="https://www.homedeal.nl/kozijnen/kozijnen-vervangen/" TargetMode="External"/><Relationship Id="rId83" Type="http://schemas.openxmlformats.org/officeDocument/2006/relationships/hyperlink" Target="https://brigada.lv/buvdarbu-izmaksas/" TargetMode="External"/><Relationship Id="rId88" Type="http://schemas.openxmlformats.org/officeDocument/2006/relationships/hyperlink" Target="https://urakkadiili.fi/mokin-lattian-eristys-hinta" TargetMode="External"/><Relationship Id="rId111" Type="http://schemas.openxmlformats.org/officeDocument/2006/relationships/hyperlink" Target="https://www.eon.ro/panouri-fotovoltaice-clienti-casnici" TargetMode="External"/><Relationship Id="rId132" Type="http://schemas.openxmlformats.org/officeDocument/2006/relationships/comments" Target="../comments1.xml"/><Relationship Id="rId15" Type="http://schemas.openxmlformats.org/officeDocument/2006/relationships/hyperlink" Target="https://gulvlaegger.dk/isolering-af-gulv/" TargetMode="External"/><Relationship Id="rId36" Type="http://schemas.openxmlformats.org/officeDocument/2006/relationships/hyperlink" Target="https://ec.europa.eu/energy/sites/ener/files/documents/mapping-hc-final_report-wp2.pdf" TargetMode="External"/><Relationship Id="rId57" Type="http://schemas.openxmlformats.org/officeDocument/2006/relationships/hyperlink" Target="https://obnovdom.sk/" TargetMode="External"/><Relationship Id="rId106" Type="http://schemas.openxmlformats.org/officeDocument/2006/relationships/hyperlink" Target="https://homeskillz.com/en/panneaux-solaires/" TargetMode="External"/><Relationship Id="rId127" Type="http://schemas.openxmlformats.org/officeDocument/2006/relationships/hyperlink" Target="https://dublin-gasboilers.ie/gas-boiler-replacement-dublin/" TargetMode="External"/><Relationship Id="rId10" Type="http://schemas.openxmlformats.org/officeDocument/2006/relationships/hyperlink" Target="https://www.cae-eco.fr/analyse-socio-economique-de-la-renovation-energetique-des-logements" TargetMode="External"/><Relationship Id="rId31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52" Type="http://schemas.openxmlformats.org/officeDocument/2006/relationships/hyperlink" Target="https://www.sk.weber/aka-je-cena-zateplenia-domu" TargetMode="External"/><Relationship Id="rId73" Type="http://schemas.openxmlformats.org/officeDocument/2006/relationships/hyperlink" Target="https://bdc.f-ive.es/" TargetMode="External"/><Relationship Id="rId78" Type="http://schemas.openxmlformats.org/officeDocument/2006/relationships/hyperlink" Target="https://bdc.f-ive.es/" TargetMode="External"/><Relationship Id="rId94" Type="http://schemas.openxmlformats.org/officeDocument/2006/relationships/hyperlink" Target="https://www.daibau.ro/preturi/fatade_case" TargetMode="External"/><Relationship Id="rId99" Type="http://schemas.openxmlformats.org/officeDocument/2006/relationships/hyperlink" Target="https://multimedia.lecho.be/immobilier-construction-renovation-prix-materiaux/" TargetMode="External"/><Relationship Id="rId101" Type="http://schemas.openxmlformats.org/officeDocument/2006/relationships/hyperlink" Target="https://myrenov.be/en/energy-renovation/insulation/roof/" TargetMode="External"/><Relationship Id="rId122" Type="http://schemas.openxmlformats.org/officeDocument/2006/relationships/hyperlink" Target="https://osber.ie/how-much-does-it-cost-to-insulate-a-house-in-ireland/" TargetMode="External"/><Relationship Id="rId4" Type="http://schemas.openxmlformats.org/officeDocument/2006/relationships/hyperlink" Target="https://www.cae-eco.fr/analyse-socio-economique-de-la-renovation-energetique-des-logements" TargetMode="External"/><Relationship Id="rId9" Type="http://schemas.openxmlformats.org/officeDocument/2006/relationships/hyperlink" Target="https://www.effinergie.org/web/images/attach/base_doc/2912/20210429etude-renovation.pdf" TargetMode="External"/><Relationship Id="rId26" Type="http://schemas.openxmlformats.org/officeDocument/2006/relationships/hyperlink" Target="https://www.auth.gr/wp-content/uploads/2.-sign-%CE%A4%CE%99%CE%9C%CE%9F%CE%9B%CE%9F%CE%93%CE%99%CE%9F-%CE%94%CE%97%CE%9C%CE%9F%CE%A0%CE%A1%CE%91%CE%A4%CE%97%CE%A3%CE%97%CE%A3.pdf" TargetMode="External"/><Relationship Id="rId47" Type="http://schemas.openxmlformats.org/officeDocument/2006/relationships/hyperlink" Target="https://polreff.org/poradnik/wymiana-okien-i-drzwi/" TargetMode="External"/><Relationship Id="rId68" Type="http://schemas.openxmlformats.org/officeDocument/2006/relationships/hyperlink" Target="https://bdc.f-ive.es/" TargetMode="External"/><Relationship Id="rId89" Type="http://schemas.openxmlformats.org/officeDocument/2006/relationships/hyperlink" Target="https://doi.org/10.1016/j.scs.2017.04.009" TargetMode="External"/><Relationship Id="rId112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33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1E96-D709-4636-9CD5-71AC22FA2195}">
  <dimension ref="A1:T198"/>
  <sheetViews>
    <sheetView tabSelected="1" zoomScale="75" zoomScaleNormal="100" workbookViewId="0">
      <pane ySplit="1" topLeftCell="A160" activePane="bottomLeft" state="frozen"/>
      <selection pane="bottomLeft" activeCell="O199" sqref="O199"/>
    </sheetView>
  </sheetViews>
  <sheetFormatPr baseColWidth="10" defaultColWidth="8.6640625" defaultRowHeight="15" x14ac:dyDescent="0.2"/>
  <cols>
    <col min="1" max="1" width="10.1640625" style="2" bestFit="1" customWidth="1"/>
    <col min="2" max="2" width="9" style="2" bestFit="1" customWidth="1"/>
    <col min="3" max="3" width="26" style="2" customWidth="1"/>
    <col min="4" max="4" width="21.6640625" style="2" bestFit="1" customWidth="1"/>
    <col min="5" max="5" width="14" style="2" customWidth="1"/>
    <col min="6" max="6" width="14.6640625" style="2" customWidth="1"/>
    <col min="7" max="7" width="12.1640625" style="2" customWidth="1"/>
    <col min="8" max="8" width="11.33203125" style="2" customWidth="1"/>
    <col min="9" max="9" width="21.1640625" style="2" customWidth="1"/>
    <col min="10" max="10" width="11.33203125" style="2" customWidth="1"/>
    <col min="11" max="11" width="12.1640625" style="3" customWidth="1"/>
    <col min="12" max="12" width="12.6640625" style="3" customWidth="1"/>
    <col min="13" max="13" width="14.5" style="2" bestFit="1" customWidth="1"/>
    <col min="14" max="14" width="72.33203125" style="2" customWidth="1"/>
    <col min="15" max="16384" width="8.6640625" style="2"/>
  </cols>
  <sheetData>
    <row r="1" spans="1:20" ht="49" thickBot="1" x14ac:dyDescent="0.25">
      <c r="A1" s="33" t="s">
        <v>219</v>
      </c>
      <c r="B1" s="32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4" t="s">
        <v>13</v>
      </c>
      <c r="P1" s="1"/>
      <c r="Q1" s="1"/>
      <c r="R1" s="1"/>
      <c r="S1" s="1"/>
      <c r="T1" s="1"/>
    </row>
    <row r="2" spans="1:20" ht="16" x14ac:dyDescent="0.2">
      <c r="A2" s="35">
        <f t="shared" ref="A2:A33" si="0">IF(B2=B1,A1,A1+1)</f>
        <v>1</v>
      </c>
      <c r="B2" s="29" t="s">
        <v>14</v>
      </c>
      <c r="C2" s="2" t="s">
        <v>15</v>
      </c>
      <c r="D2" s="2" t="s">
        <v>16</v>
      </c>
      <c r="E2" s="2" t="s">
        <v>17</v>
      </c>
      <c r="F2" s="2">
        <v>8</v>
      </c>
      <c r="G2" s="2">
        <v>3.7999999999999999E-2</v>
      </c>
      <c r="K2" s="8"/>
      <c r="L2" s="8">
        <v>55</v>
      </c>
      <c r="M2" s="8"/>
      <c r="N2" s="2" t="s">
        <v>18</v>
      </c>
      <c r="O2" s="2" t="s">
        <v>19</v>
      </c>
      <c r="Q2" s="1"/>
      <c r="R2" s="1"/>
      <c r="S2" s="1"/>
      <c r="T2" s="1"/>
    </row>
    <row r="3" spans="1:20" ht="16" x14ac:dyDescent="0.2">
      <c r="A3" s="35">
        <f t="shared" si="0"/>
        <v>1</v>
      </c>
      <c r="B3" s="29" t="s">
        <v>14</v>
      </c>
      <c r="C3" s="2" t="s">
        <v>15</v>
      </c>
      <c r="D3" s="2" t="s">
        <v>20</v>
      </c>
      <c r="K3" s="2"/>
      <c r="L3" s="8"/>
      <c r="M3" s="8"/>
      <c r="Q3" s="1"/>
      <c r="R3" s="1"/>
      <c r="S3" s="1"/>
      <c r="T3" s="1"/>
    </row>
    <row r="4" spans="1:20" ht="16" x14ac:dyDescent="0.2">
      <c r="A4" s="35">
        <f t="shared" si="0"/>
        <v>1</v>
      </c>
      <c r="B4" s="29" t="s">
        <v>14</v>
      </c>
      <c r="C4" s="2" t="s">
        <v>15</v>
      </c>
      <c r="D4" s="2" t="s">
        <v>21</v>
      </c>
      <c r="E4" s="2" t="s">
        <v>22</v>
      </c>
      <c r="F4" s="2">
        <v>30</v>
      </c>
      <c r="G4" s="2">
        <v>0.03</v>
      </c>
      <c r="K4" s="2"/>
      <c r="L4" s="8">
        <v>23</v>
      </c>
      <c r="M4" s="8"/>
      <c r="N4" s="2" t="s">
        <v>23</v>
      </c>
      <c r="O4" s="27" t="s">
        <v>24</v>
      </c>
      <c r="Q4" s="1"/>
      <c r="R4" s="1"/>
      <c r="S4" s="1"/>
      <c r="T4" s="1"/>
    </row>
    <row r="5" spans="1:20" ht="16" x14ac:dyDescent="0.2">
      <c r="A5" s="35">
        <f t="shared" si="0"/>
        <v>1</v>
      </c>
      <c r="B5" s="29" t="s">
        <v>14</v>
      </c>
      <c r="C5" s="2" t="s">
        <v>15</v>
      </c>
      <c r="D5" s="2" t="s">
        <v>25</v>
      </c>
      <c r="K5" s="2"/>
      <c r="L5" s="8"/>
      <c r="M5" s="8"/>
      <c r="Q5" s="1"/>
      <c r="R5" s="1"/>
      <c r="S5" s="1"/>
      <c r="T5" s="1"/>
    </row>
    <row r="6" spans="1:20" ht="16" x14ac:dyDescent="0.2">
      <c r="A6" s="35">
        <f t="shared" si="0"/>
        <v>1</v>
      </c>
      <c r="B6" s="29" t="s">
        <v>14</v>
      </c>
      <c r="C6" s="2" t="s">
        <v>15</v>
      </c>
      <c r="D6" s="2" t="s">
        <v>26</v>
      </c>
      <c r="E6" s="2" t="s">
        <v>27</v>
      </c>
      <c r="F6" s="2">
        <v>10</v>
      </c>
      <c r="K6" s="2"/>
      <c r="L6" s="8">
        <v>71</v>
      </c>
      <c r="M6" s="8"/>
      <c r="Q6" s="1"/>
      <c r="R6" s="1"/>
      <c r="S6" s="1"/>
      <c r="T6" s="1"/>
    </row>
    <row r="7" spans="1:20" ht="16" x14ac:dyDescent="0.2">
      <c r="A7" s="35">
        <f t="shared" si="0"/>
        <v>1</v>
      </c>
      <c r="B7" s="29" t="s">
        <v>14</v>
      </c>
      <c r="C7" s="2" t="s">
        <v>15</v>
      </c>
      <c r="D7" s="2" t="s">
        <v>28</v>
      </c>
      <c r="K7" s="2"/>
      <c r="L7" s="8">
        <v>116.58</v>
      </c>
      <c r="M7" s="8"/>
      <c r="Q7" s="1"/>
      <c r="R7" s="1"/>
      <c r="S7" s="1"/>
      <c r="T7" s="1"/>
    </row>
    <row r="8" spans="1:20" ht="16" x14ac:dyDescent="0.2">
      <c r="A8" s="35">
        <f t="shared" si="0"/>
        <v>1</v>
      </c>
      <c r="B8" s="29" t="s">
        <v>14</v>
      </c>
      <c r="C8" s="2" t="s">
        <v>15</v>
      </c>
      <c r="D8" s="2" t="s">
        <v>29</v>
      </c>
      <c r="I8" s="2">
        <v>12</v>
      </c>
      <c r="K8" s="2"/>
      <c r="L8" s="8"/>
      <c r="M8" s="8">
        <v>7669.22</v>
      </c>
      <c r="Q8" s="1"/>
      <c r="R8" s="1"/>
      <c r="S8" s="1"/>
      <c r="T8" s="1"/>
    </row>
    <row r="9" spans="1:20" ht="16" x14ac:dyDescent="0.2">
      <c r="A9" s="35">
        <f t="shared" si="0"/>
        <v>1</v>
      </c>
      <c r="B9" s="29" t="s">
        <v>14</v>
      </c>
      <c r="C9" s="2" t="s">
        <v>15</v>
      </c>
      <c r="D9" s="2" t="s">
        <v>30</v>
      </c>
      <c r="I9" s="2">
        <v>25</v>
      </c>
      <c r="K9" s="2"/>
      <c r="L9" s="8"/>
      <c r="M9" s="3">
        <v>2740</v>
      </c>
      <c r="Q9" s="1"/>
      <c r="R9" s="1"/>
      <c r="S9" s="1"/>
      <c r="T9" s="1"/>
    </row>
    <row r="10" spans="1:20" ht="16" x14ac:dyDescent="0.2">
      <c r="A10" s="35">
        <f t="shared" si="0"/>
        <v>1</v>
      </c>
      <c r="B10" s="29" t="s">
        <v>14</v>
      </c>
      <c r="C10" s="2" t="s">
        <v>15</v>
      </c>
      <c r="D10" s="2" t="s">
        <v>31</v>
      </c>
      <c r="I10" s="2">
        <v>1</v>
      </c>
      <c r="K10" s="2"/>
      <c r="L10" s="8"/>
      <c r="M10" s="8">
        <v>1280</v>
      </c>
      <c r="N10" s="2" t="s">
        <v>201</v>
      </c>
      <c r="O10" s="27" t="s">
        <v>202</v>
      </c>
      <c r="Q10" s="1"/>
      <c r="R10" s="1"/>
      <c r="S10" s="1"/>
      <c r="T10" s="1"/>
    </row>
    <row r="11" spans="1:20" ht="17" thickBot="1" x14ac:dyDescent="0.25">
      <c r="A11" s="2">
        <f t="shared" si="0"/>
        <v>1</v>
      </c>
      <c r="B11" s="29" t="s">
        <v>14</v>
      </c>
      <c r="C11" s="12" t="s">
        <v>15</v>
      </c>
      <c r="D11" s="14" t="s">
        <v>32</v>
      </c>
      <c r="K11" s="2"/>
      <c r="L11" s="8"/>
      <c r="M11" s="8"/>
      <c r="Q11" s="1"/>
      <c r="R11" s="1"/>
      <c r="S11" s="1"/>
      <c r="T11" s="1"/>
    </row>
    <row r="12" spans="1:20" s="5" customFormat="1" x14ac:dyDescent="0.2">
      <c r="A12" s="5">
        <f t="shared" si="0"/>
        <v>2</v>
      </c>
      <c r="B12" s="4" t="s">
        <v>33</v>
      </c>
      <c r="C12" s="5" t="s">
        <v>15</v>
      </c>
      <c r="D12" s="5" t="s">
        <v>34</v>
      </c>
      <c r="E12" s="5" t="s">
        <v>27</v>
      </c>
      <c r="F12" s="5">
        <v>10</v>
      </c>
      <c r="G12" s="5">
        <v>3.1E-2</v>
      </c>
      <c r="L12" s="6">
        <v>34.6</v>
      </c>
      <c r="M12" s="6"/>
      <c r="N12" s="5" t="s">
        <v>35</v>
      </c>
      <c r="O12" s="5" t="s">
        <v>36</v>
      </c>
    </row>
    <row r="13" spans="1:20" x14ac:dyDescent="0.2">
      <c r="A13" s="2">
        <f t="shared" si="0"/>
        <v>2</v>
      </c>
      <c r="B13" s="7" t="s">
        <v>33</v>
      </c>
      <c r="C13" s="2" t="s">
        <v>15</v>
      </c>
      <c r="D13" s="2" t="s">
        <v>20</v>
      </c>
      <c r="E13" s="2" t="s">
        <v>27</v>
      </c>
      <c r="F13" s="2">
        <v>10</v>
      </c>
      <c r="G13" s="2">
        <v>3.1E-2</v>
      </c>
      <c r="K13" s="2"/>
      <c r="L13" s="8">
        <v>8.7799999999999994</v>
      </c>
      <c r="M13" s="8"/>
      <c r="N13" s="2" t="s">
        <v>35</v>
      </c>
      <c r="O13" s="2" t="s">
        <v>36</v>
      </c>
    </row>
    <row r="14" spans="1:20" x14ac:dyDescent="0.2">
      <c r="A14" s="2">
        <f t="shared" si="0"/>
        <v>2</v>
      </c>
      <c r="B14" s="7" t="s">
        <v>33</v>
      </c>
      <c r="C14" s="2" t="s">
        <v>15</v>
      </c>
      <c r="D14" s="2" t="s">
        <v>34</v>
      </c>
      <c r="E14" s="2" t="s">
        <v>17</v>
      </c>
      <c r="F14" s="2">
        <v>5</v>
      </c>
      <c r="G14" s="2">
        <v>3.9E-2</v>
      </c>
      <c r="K14" s="2"/>
      <c r="L14" s="8">
        <v>31.94</v>
      </c>
      <c r="M14" s="8"/>
      <c r="N14" s="2" t="s">
        <v>35</v>
      </c>
      <c r="O14" s="2" t="s">
        <v>36</v>
      </c>
    </row>
    <row r="15" spans="1:20" x14ac:dyDescent="0.2">
      <c r="A15" s="2">
        <f t="shared" si="0"/>
        <v>2</v>
      </c>
      <c r="B15" s="7" t="s">
        <v>33</v>
      </c>
      <c r="C15" s="2" t="s">
        <v>15</v>
      </c>
      <c r="D15" s="2" t="s">
        <v>20</v>
      </c>
      <c r="E15" s="2" t="s">
        <v>17</v>
      </c>
      <c r="F15" s="2">
        <v>5</v>
      </c>
      <c r="G15" s="2">
        <v>3.9E-2</v>
      </c>
      <c r="K15" s="2"/>
      <c r="L15" s="8">
        <v>7.8</v>
      </c>
      <c r="M15" s="8"/>
      <c r="N15" s="2" t="s">
        <v>35</v>
      </c>
      <c r="O15" s="2" t="s">
        <v>36</v>
      </c>
    </row>
    <row r="16" spans="1:20" x14ac:dyDescent="0.2">
      <c r="A16" s="2">
        <f t="shared" si="0"/>
        <v>2</v>
      </c>
      <c r="B16" s="7" t="s">
        <v>33</v>
      </c>
      <c r="C16" s="2" t="s">
        <v>15</v>
      </c>
      <c r="D16" s="2" t="s">
        <v>34</v>
      </c>
      <c r="E16" s="2" t="s">
        <v>22</v>
      </c>
      <c r="F16" s="2">
        <v>10</v>
      </c>
      <c r="G16" s="2">
        <v>4.3999999999999997E-2</v>
      </c>
      <c r="K16" s="2"/>
      <c r="L16" s="8">
        <v>30.03</v>
      </c>
      <c r="M16" s="8"/>
      <c r="N16" s="2" t="s">
        <v>35</v>
      </c>
      <c r="O16" s="2" t="s">
        <v>36</v>
      </c>
    </row>
    <row r="17" spans="1:15" x14ac:dyDescent="0.2">
      <c r="A17" s="2">
        <f t="shared" si="0"/>
        <v>2</v>
      </c>
      <c r="B17" s="7" t="s">
        <v>33</v>
      </c>
      <c r="C17" s="2" t="s">
        <v>15</v>
      </c>
      <c r="D17" s="2" t="s">
        <v>20</v>
      </c>
      <c r="E17" s="2" t="s">
        <v>22</v>
      </c>
      <c r="F17" s="2">
        <v>10</v>
      </c>
      <c r="G17" s="2">
        <v>4.3999999999999997E-2</v>
      </c>
      <c r="K17" s="2"/>
      <c r="L17" s="8">
        <v>5.89</v>
      </c>
      <c r="M17" s="8"/>
      <c r="N17" s="2" t="s">
        <v>35</v>
      </c>
      <c r="O17" s="2" t="s">
        <v>36</v>
      </c>
    </row>
    <row r="18" spans="1:15" x14ac:dyDescent="0.2">
      <c r="A18" s="2">
        <f t="shared" si="0"/>
        <v>2</v>
      </c>
      <c r="B18" s="7" t="s">
        <v>33</v>
      </c>
      <c r="C18" s="2" t="s">
        <v>15</v>
      </c>
      <c r="D18" s="2" t="s">
        <v>21</v>
      </c>
      <c r="E18" s="2" t="s">
        <v>22</v>
      </c>
      <c r="F18" s="2">
        <v>10</v>
      </c>
      <c r="G18" s="2">
        <v>4.3999999999999997E-2</v>
      </c>
      <c r="K18" s="2"/>
      <c r="L18" s="9">
        <v>5.89</v>
      </c>
      <c r="M18" s="8"/>
      <c r="N18" s="2" t="s">
        <v>35</v>
      </c>
      <c r="O18" s="2" t="s">
        <v>36</v>
      </c>
    </row>
    <row r="19" spans="1:15" x14ac:dyDescent="0.2">
      <c r="A19" s="2">
        <f t="shared" si="0"/>
        <v>2</v>
      </c>
      <c r="B19" s="7" t="s">
        <v>33</v>
      </c>
      <c r="C19" s="2" t="s">
        <v>15</v>
      </c>
      <c r="D19" s="2" t="s">
        <v>25</v>
      </c>
      <c r="E19" s="2" t="s">
        <v>22</v>
      </c>
      <c r="F19" s="2">
        <v>10</v>
      </c>
      <c r="G19" s="2">
        <v>4.3999999999999997E-2</v>
      </c>
      <c r="K19" s="2"/>
      <c r="L19" s="8">
        <v>182.24</v>
      </c>
      <c r="M19" s="8"/>
      <c r="N19" s="2" t="s">
        <v>35</v>
      </c>
      <c r="O19" s="2" t="s">
        <v>36</v>
      </c>
    </row>
    <row r="20" spans="1:15" x14ac:dyDescent="0.2">
      <c r="A20" s="2">
        <f t="shared" si="0"/>
        <v>2</v>
      </c>
      <c r="B20" s="7" t="s">
        <v>33</v>
      </c>
      <c r="C20" s="2" t="s">
        <v>15</v>
      </c>
      <c r="D20" s="2" t="s">
        <v>26</v>
      </c>
      <c r="E20" s="2" t="s">
        <v>27</v>
      </c>
      <c r="F20" s="2">
        <v>10</v>
      </c>
      <c r="G20" s="2">
        <v>3.1E-2</v>
      </c>
      <c r="K20" s="2"/>
      <c r="L20" s="8">
        <v>113</v>
      </c>
      <c r="M20" s="8"/>
      <c r="N20" s="2" t="s">
        <v>37</v>
      </c>
      <c r="O20" s="2" t="s">
        <v>36</v>
      </c>
    </row>
    <row r="21" spans="1:15" x14ac:dyDescent="0.2">
      <c r="A21" s="2">
        <f t="shared" si="0"/>
        <v>2</v>
      </c>
      <c r="B21" s="7" t="s">
        <v>33</v>
      </c>
      <c r="C21" s="2" t="s">
        <v>15</v>
      </c>
      <c r="D21" s="2" t="s">
        <v>28</v>
      </c>
      <c r="H21" s="10"/>
      <c r="K21" s="2"/>
      <c r="L21" s="9">
        <v>350</v>
      </c>
      <c r="M21" s="8"/>
      <c r="N21" s="2" t="s">
        <v>38</v>
      </c>
      <c r="O21" s="2" t="s">
        <v>36</v>
      </c>
    </row>
    <row r="22" spans="1:15" x14ac:dyDescent="0.2">
      <c r="A22" s="2">
        <f t="shared" si="0"/>
        <v>2</v>
      </c>
      <c r="B22" s="7" t="s">
        <v>33</v>
      </c>
      <c r="C22" s="2" t="s">
        <v>15</v>
      </c>
      <c r="D22" s="2" t="s">
        <v>29</v>
      </c>
      <c r="I22" s="2">
        <v>8</v>
      </c>
      <c r="K22" s="2"/>
      <c r="L22" s="8"/>
      <c r="M22" s="8">
        <v>4000</v>
      </c>
      <c r="N22" s="2" t="s">
        <v>39</v>
      </c>
      <c r="O22" s="2" t="s">
        <v>40</v>
      </c>
    </row>
    <row r="23" spans="1:15" x14ac:dyDescent="0.2">
      <c r="A23" s="2">
        <f t="shared" si="0"/>
        <v>2</v>
      </c>
      <c r="B23" s="7" t="s">
        <v>33</v>
      </c>
      <c r="C23" s="2" t="s">
        <v>15</v>
      </c>
      <c r="D23" s="10" t="s">
        <v>31</v>
      </c>
      <c r="K23" s="2"/>
      <c r="L23" s="8"/>
      <c r="M23" s="8"/>
    </row>
    <row r="24" spans="1:15" s="12" customFormat="1" ht="16" thickBot="1" x14ac:dyDescent="0.25">
      <c r="A24" s="2">
        <f t="shared" si="0"/>
        <v>2</v>
      </c>
      <c r="B24" s="11" t="s">
        <v>33</v>
      </c>
      <c r="C24" s="12" t="s">
        <v>15</v>
      </c>
      <c r="D24" s="12" t="s">
        <v>32</v>
      </c>
      <c r="J24" s="12">
        <v>6.27</v>
      </c>
      <c r="K24" s="12">
        <v>300</v>
      </c>
      <c r="L24" s="13"/>
      <c r="M24" s="13">
        <v>2900</v>
      </c>
      <c r="N24" s="14"/>
    </row>
    <row r="25" spans="1:15" s="5" customFormat="1" x14ac:dyDescent="0.2">
      <c r="A25" s="5">
        <f t="shared" si="0"/>
        <v>3</v>
      </c>
      <c r="B25" s="4" t="s">
        <v>41</v>
      </c>
      <c r="C25" s="5" t="s">
        <v>15</v>
      </c>
      <c r="D25" s="5" t="s">
        <v>34</v>
      </c>
      <c r="E25" s="5" t="s">
        <v>27</v>
      </c>
      <c r="F25" s="5">
        <v>8</v>
      </c>
      <c r="G25" s="5">
        <v>3.7999999999999999E-2</v>
      </c>
      <c r="L25" s="6">
        <v>71.239999999999995</v>
      </c>
      <c r="M25" s="6"/>
      <c r="N25" s="5" t="s">
        <v>42</v>
      </c>
      <c r="O25" s="5" t="s">
        <v>43</v>
      </c>
    </row>
    <row r="26" spans="1:15" x14ac:dyDescent="0.2">
      <c r="A26" s="2">
        <f t="shared" si="0"/>
        <v>3</v>
      </c>
      <c r="B26" s="7" t="s">
        <v>41</v>
      </c>
      <c r="C26" s="2" t="s">
        <v>15</v>
      </c>
      <c r="D26" s="2" t="s">
        <v>20</v>
      </c>
      <c r="E26" s="2" t="s">
        <v>27</v>
      </c>
      <c r="F26" s="10"/>
      <c r="G26" s="2">
        <v>3.7999999999999999E-2</v>
      </c>
      <c r="K26" s="2"/>
      <c r="L26" s="8">
        <v>2.2599999999999998</v>
      </c>
      <c r="M26" s="8"/>
      <c r="N26" s="2" t="s">
        <v>42</v>
      </c>
      <c r="O26" s="2" t="s">
        <v>43</v>
      </c>
    </row>
    <row r="27" spans="1:15" x14ac:dyDescent="0.2">
      <c r="A27" s="2">
        <f t="shared" si="0"/>
        <v>3</v>
      </c>
      <c r="B27" s="7" t="s">
        <v>41</v>
      </c>
      <c r="C27" s="2" t="s">
        <v>15</v>
      </c>
      <c r="D27" s="2" t="s">
        <v>34</v>
      </c>
      <c r="E27" s="2" t="s">
        <v>17</v>
      </c>
      <c r="F27" s="2">
        <v>8</v>
      </c>
      <c r="G27" s="2">
        <v>4.1000000000000002E-2</v>
      </c>
      <c r="K27" s="2"/>
      <c r="L27" s="8">
        <v>91.6</v>
      </c>
      <c r="M27" s="8"/>
      <c r="N27" s="2" t="s">
        <v>42</v>
      </c>
    </row>
    <row r="28" spans="1:15" x14ac:dyDescent="0.2">
      <c r="A28" s="2">
        <f t="shared" si="0"/>
        <v>3</v>
      </c>
      <c r="B28" s="7" t="s">
        <v>41</v>
      </c>
      <c r="C28" s="2" t="s">
        <v>15</v>
      </c>
      <c r="D28" s="2" t="s">
        <v>20</v>
      </c>
      <c r="E28" s="2" t="s">
        <v>17</v>
      </c>
      <c r="F28" s="10"/>
      <c r="G28" s="2">
        <v>4.1000000000000002E-2</v>
      </c>
      <c r="K28" s="2"/>
      <c r="L28" s="8">
        <v>5.6</v>
      </c>
      <c r="M28" s="8"/>
      <c r="N28" s="2" t="s">
        <v>42</v>
      </c>
    </row>
    <row r="29" spans="1:15" x14ac:dyDescent="0.2">
      <c r="A29" s="2">
        <f t="shared" si="0"/>
        <v>3</v>
      </c>
      <c r="B29" s="7" t="s">
        <v>41</v>
      </c>
      <c r="C29" s="2" t="s">
        <v>15</v>
      </c>
      <c r="D29" s="2" t="s">
        <v>21</v>
      </c>
      <c r="E29" s="2" t="s">
        <v>27</v>
      </c>
      <c r="F29" s="2">
        <v>24</v>
      </c>
      <c r="K29" s="2"/>
      <c r="L29" s="8">
        <v>37</v>
      </c>
      <c r="M29" s="8"/>
    </row>
    <row r="30" spans="1:15" x14ac:dyDescent="0.2">
      <c r="A30" s="2">
        <f t="shared" si="0"/>
        <v>3</v>
      </c>
      <c r="B30" s="7" t="s">
        <v>41</v>
      </c>
      <c r="C30" s="2" t="s">
        <v>15</v>
      </c>
      <c r="D30" s="2" t="s">
        <v>25</v>
      </c>
      <c r="K30" s="2"/>
      <c r="L30" s="8"/>
      <c r="M30" s="8"/>
    </row>
    <row r="31" spans="1:15" x14ac:dyDescent="0.2">
      <c r="A31" s="2">
        <f t="shared" si="0"/>
        <v>3</v>
      </c>
      <c r="B31" s="7" t="s">
        <v>41</v>
      </c>
      <c r="C31" s="2" t="s">
        <v>15</v>
      </c>
      <c r="D31" s="2" t="s">
        <v>26</v>
      </c>
      <c r="K31" s="2"/>
      <c r="L31" s="8">
        <v>42</v>
      </c>
      <c r="M31" s="8"/>
    </row>
    <row r="32" spans="1:15" x14ac:dyDescent="0.2">
      <c r="A32" s="2">
        <f t="shared" si="0"/>
        <v>3</v>
      </c>
      <c r="B32" s="7" t="s">
        <v>41</v>
      </c>
      <c r="C32" s="2" t="s">
        <v>15</v>
      </c>
      <c r="D32" s="2" t="s">
        <v>28</v>
      </c>
      <c r="H32" s="10"/>
      <c r="K32" s="2"/>
      <c r="L32" s="8">
        <v>384</v>
      </c>
      <c r="M32" s="8"/>
    </row>
    <row r="33" spans="1:15" x14ac:dyDescent="0.2">
      <c r="A33" s="2">
        <f t="shared" si="0"/>
        <v>3</v>
      </c>
      <c r="B33" s="7" t="s">
        <v>41</v>
      </c>
      <c r="C33" s="2" t="s">
        <v>15</v>
      </c>
      <c r="D33" s="2" t="s">
        <v>29</v>
      </c>
      <c r="K33" s="2"/>
      <c r="L33" s="8"/>
      <c r="M33" s="8">
        <v>9672.24</v>
      </c>
      <c r="N33" s="2" t="s">
        <v>44</v>
      </c>
      <c r="O33" s="2" t="s">
        <v>45</v>
      </c>
    </row>
    <row r="34" spans="1:15" x14ac:dyDescent="0.2">
      <c r="A34" s="2">
        <f t="shared" ref="A34:A65" si="1">IF(B34=B33,A33,A33+1)</f>
        <v>3</v>
      </c>
      <c r="B34" s="7" t="s">
        <v>41</v>
      </c>
      <c r="C34" s="2" t="s">
        <v>15</v>
      </c>
      <c r="D34" s="2" t="s">
        <v>30</v>
      </c>
      <c r="I34" s="10"/>
      <c r="K34" s="2"/>
      <c r="L34" s="8"/>
      <c r="M34" s="8">
        <v>1995</v>
      </c>
      <c r="O34" s="2" t="s">
        <v>46</v>
      </c>
    </row>
    <row r="35" spans="1:15" x14ac:dyDescent="0.2">
      <c r="A35" s="2">
        <f t="shared" si="1"/>
        <v>3</v>
      </c>
      <c r="B35" s="7" t="s">
        <v>41</v>
      </c>
      <c r="C35" s="2" t="s">
        <v>15</v>
      </c>
      <c r="D35" s="2" t="s">
        <v>31</v>
      </c>
      <c r="I35" s="2">
        <v>1</v>
      </c>
      <c r="K35" s="2"/>
      <c r="L35" s="8"/>
      <c r="M35" s="8">
        <v>1560</v>
      </c>
      <c r="N35" s="2" t="s">
        <v>177</v>
      </c>
      <c r="O35" s="27" t="s">
        <v>203</v>
      </c>
    </row>
    <row r="36" spans="1:15" s="12" customFormat="1" ht="16" thickBot="1" x14ac:dyDescent="0.25">
      <c r="A36" s="36">
        <f t="shared" si="1"/>
        <v>3</v>
      </c>
      <c r="B36" s="11" t="s">
        <v>41</v>
      </c>
      <c r="C36" s="12" t="s">
        <v>15</v>
      </c>
      <c r="D36" s="12" t="s">
        <v>32</v>
      </c>
      <c r="J36" s="14"/>
      <c r="K36" s="12">
        <v>100</v>
      </c>
      <c r="L36" s="13"/>
      <c r="M36" s="13">
        <v>763</v>
      </c>
      <c r="O36" s="15" t="s">
        <v>47</v>
      </c>
    </row>
    <row r="37" spans="1:15" s="5" customFormat="1" x14ac:dyDescent="0.2">
      <c r="A37" s="2">
        <f t="shared" si="1"/>
        <v>4</v>
      </c>
      <c r="B37" s="4" t="s">
        <v>48</v>
      </c>
      <c r="C37" s="5" t="s">
        <v>15</v>
      </c>
      <c r="D37" s="5" t="s">
        <v>16</v>
      </c>
      <c r="E37" s="5" t="s">
        <v>17</v>
      </c>
      <c r="F37" s="5">
        <v>15</v>
      </c>
      <c r="G37" s="5">
        <v>3.7999999999999999E-2</v>
      </c>
      <c r="L37" s="16">
        <v>233</v>
      </c>
      <c r="M37" s="6"/>
      <c r="N37" s="5" t="s">
        <v>49</v>
      </c>
      <c r="O37" s="17" t="s">
        <v>50</v>
      </c>
    </row>
    <row r="38" spans="1:15" x14ac:dyDescent="0.2">
      <c r="A38" s="2">
        <f t="shared" si="1"/>
        <v>4</v>
      </c>
      <c r="B38" s="7" t="s">
        <v>48</v>
      </c>
      <c r="C38" s="2" t="s">
        <v>15</v>
      </c>
      <c r="D38" s="2" t="s">
        <v>20</v>
      </c>
      <c r="E38" s="2" t="s">
        <v>17</v>
      </c>
      <c r="F38" s="2">
        <v>5</v>
      </c>
      <c r="G38" s="2">
        <v>3.7999999999999999E-2</v>
      </c>
      <c r="K38" s="2"/>
      <c r="L38" s="8">
        <v>7.7</v>
      </c>
      <c r="M38" s="8"/>
      <c r="N38" s="2" t="s">
        <v>49</v>
      </c>
      <c r="O38" s="18" t="s">
        <v>50</v>
      </c>
    </row>
    <row r="39" spans="1:15" x14ac:dyDescent="0.2">
      <c r="A39" s="2">
        <f t="shared" si="1"/>
        <v>4</v>
      </c>
      <c r="B39" s="7" t="s">
        <v>48</v>
      </c>
      <c r="C39" s="2" t="s">
        <v>15</v>
      </c>
      <c r="D39" s="2" t="s">
        <v>21</v>
      </c>
      <c r="E39" s="2" t="s">
        <v>51</v>
      </c>
      <c r="F39" s="2">
        <v>80</v>
      </c>
      <c r="G39" s="2">
        <v>9.5000000000000001E-2</v>
      </c>
      <c r="K39" s="2"/>
      <c r="L39" s="8">
        <v>18</v>
      </c>
      <c r="M39" s="8"/>
      <c r="N39" s="2" t="s">
        <v>52</v>
      </c>
      <c r="O39" s="18" t="s">
        <v>53</v>
      </c>
    </row>
    <row r="40" spans="1:15" x14ac:dyDescent="0.2">
      <c r="A40" s="2">
        <f t="shared" si="1"/>
        <v>4</v>
      </c>
      <c r="B40" s="7" t="s">
        <v>48</v>
      </c>
      <c r="C40" s="2" t="s">
        <v>15</v>
      </c>
      <c r="D40" s="10" t="s">
        <v>25</v>
      </c>
      <c r="K40" s="2"/>
      <c r="L40" s="8"/>
      <c r="M40" s="8"/>
    </row>
    <row r="41" spans="1:15" x14ac:dyDescent="0.2">
      <c r="A41" s="2">
        <f t="shared" si="1"/>
        <v>4</v>
      </c>
      <c r="B41" s="7" t="s">
        <v>48</v>
      </c>
      <c r="C41" s="2" t="s">
        <v>15</v>
      </c>
      <c r="D41" s="2" t="s">
        <v>26</v>
      </c>
      <c r="E41" s="2" t="s">
        <v>27</v>
      </c>
      <c r="F41" s="2">
        <v>10</v>
      </c>
      <c r="G41" s="2">
        <v>3.5000000000000003E-2</v>
      </c>
      <c r="K41" s="2"/>
      <c r="L41" s="8">
        <v>102.84</v>
      </c>
      <c r="M41" s="8"/>
      <c r="N41" s="10"/>
    </row>
    <row r="42" spans="1:15" x14ac:dyDescent="0.2">
      <c r="A42" s="2">
        <f t="shared" si="1"/>
        <v>4</v>
      </c>
      <c r="B42" s="7" t="s">
        <v>48</v>
      </c>
      <c r="C42" s="2" t="s">
        <v>15</v>
      </c>
      <c r="D42" s="2" t="s">
        <v>28</v>
      </c>
      <c r="E42" s="2" t="s">
        <v>54</v>
      </c>
      <c r="H42" s="2">
        <v>0.8</v>
      </c>
      <c r="K42" s="2"/>
      <c r="L42" s="8">
        <v>145</v>
      </c>
      <c r="M42" s="8"/>
      <c r="N42" s="2" t="s">
        <v>52</v>
      </c>
      <c r="O42" s="2" t="s">
        <v>53</v>
      </c>
    </row>
    <row r="43" spans="1:15" x14ac:dyDescent="0.2">
      <c r="A43" s="2">
        <f t="shared" si="1"/>
        <v>4</v>
      </c>
      <c r="B43" s="7" t="s">
        <v>48</v>
      </c>
      <c r="C43" s="2" t="s">
        <v>15</v>
      </c>
      <c r="D43" s="2" t="s">
        <v>29</v>
      </c>
      <c r="I43" s="2">
        <v>5</v>
      </c>
      <c r="K43" s="2"/>
      <c r="L43" s="8"/>
      <c r="M43" s="8">
        <v>6000</v>
      </c>
    </row>
    <row r="44" spans="1:15" x14ac:dyDescent="0.2">
      <c r="A44" s="2">
        <f t="shared" si="1"/>
        <v>4</v>
      </c>
      <c r="B44" s="7" t="s">
        <v>48</v>
      </c>
      <c r="C44" s="2" t="s">
        <v>15</v>
      </c>
      <c r="D44" s="2" t="s">
        <v>30</v>
      </c>
      <c r="I44" s="2">
        <v>24</v>
      </c>
      <c r="K44" s="2"/>
      <c r="L44" s="8"/>
      <c r="M44" s="8">
        <v>1800</v>
      </c>
    </row>
    <row r="45" spans="1:15" x14ac:dyDescent="0.2">
      <c r="A45" s="2">
        <f t="shared" si="1"/>
        <v>4</v>
      </c>
      <c r="B45" s="7" t="s">
        <v>48</v>
      </c>
      <c r="C45" s="2" t="s">
        <v>15</v>
      </c>
      <c r="D45" s="2" t="s">
        <v>31</v>
      </c>
      <c r="I45" s="2">
        <v>1</v>
      </c>
      <c r="K45" s="2"/>
      <c r="L45" s="8"/>
      <c r="M45" s="8">
        <v>1100</v>
      </c>
      <c r="N45" s="2" t="s">
        <v>178</v>
      </c>
      <c r="O45" s="27" t="s">
        <v>179</v>
      </c>
    </row>
    <row r="46" spans="1:15" s="12" customFormat="1" ht="16" thickBot="1" x14ac:dyDescent="0.25">
      <c r="A46" s="36">
        <f t="shared" si="1"/>
        <v>4</v>
      </c>
      <c r="B46" s="11" t="s">
        <v>48</v>
      </c>
      <c r="C46" s="12" t="s">
        <v>15</v>
      </c>
      <c r="D46" s="12" t="s">
        <v>32</v>
      </c>
      <c r="F46" s="2"/>
      <c r="G46" s="2"/>
      <c r="L46" s="13"/>
      <c r="M46" s="13">
        <v>1200</v>
      </c>
      <c r="N46" s="12" t="s">
        <v>180</v>
      </c>
      <c r="O46" s="15" t="s">
        <v>181</v>
      </c>
    </row>
    <row r="47" spans="1:15" s="5" customFormat="1" x14ac:dyDescent="0.2">
      <c r="A47" s="2">
        <f t="shared" si="1"/>
        <v>5</v>
      </c>
      <c r="B47" s="4" t="s">
        <v>55</v>
      </c>
      <c r="C47" s="5" t="s">
        <v>15</v>
      </c>
      <c r="D47" s="5" t="s">
        <v>16</v>
      </c>
      <c r="E47" s="5" t="s">
        <v>27</v>
      </c>
      <c r="F47" s="5">
        <v>10</v>
      </c>
      <c r="G47" s="5">
        <v>3.4000000000000002E-2</v>
      </c>
      <c r="L47" s="6">
        <v>160</v>
      </c>
      <c r="M47" s="6"/>
      <c r="N47" s="5" t="s">
        <v>56</v>
      </c>
      <c r="O47" s="17" t="s">
        <v>57</v>
      </c>
    </row>
    <row r="48" spans="1:15" x14ac:dyDescent="0.2">
      <c r="A48" s="2">
        <f t="shared" si="1"/>
        <v>5</v>
      </c>
      <c r="B48" s="7" t="s">
        <v>55</v>
      </c>
      <c r="C48" s="2" t="s">
        <v>15</v>
      </c>
      <c r="D48" s="10" t="s">
        <v>20</v>
      </c>
      <c r="K48" s="2"/>
      <c r="L48" s="8"/>
      <c r="M48" s="8"/>
    </row>
    <row r="49" spans="1:15" x14ac:dyDescent="0.2">
      <c r="A49" s="2">
        <f t="shared" si="1"/>
        <v>5</v>
      </c>
      <c r="B49" s="7" t="s">
        <v>55</v>
      </c>
      <c r="C49" s="2" t="s">
        <v>15</v>
      </c>
      <c r="D49" s="2" t="s">
        <v>21</v>
      </c>
      <c r="F49" s="19">
        <v>16</v>
      </c>
      <c r="G49" s="19">
        <v>3.4000000000000002E-2</v>
      </c>
      <c r="K49" s="2"/>
      <c r="L49" s="8">
        <v>80</v>
      </c>
      <c r="M49" s="8"/>
      <c r="N49" s="2" t="s">
        <v>56</v>
      </c>
      <c r="O49" s="18" t="s">
        <v>57</v>
      </c>
    </row>
    <row r="50" spans="1:15" x14ac:dyDescent="0.2">
      <c r="A50" s="2">
        <f t="shared" si="1"/>
        <v>5</v>
      </c>
      <c r="B50" s="7" t="s">
        <v>55</v>
      </c>
      <c r="C50" s="2" t="s">
        <v>15</v>
      </c>
      <c r="D50" s="10" t="s">
        <v>25</v>
      </c>
      <c r="K50" s="2"/>
      <c r="L50" s="8"/>
      <c r="M50" s="8"/>
    </row>
    <row r="51" spans="1:15" x14ac:dyDescent="0.2">
      <c r="A51" s="2">
        <f t="shared" si="1"/>
        <v>5</v>
      </c>
      <c r="B51" s="7" t="s">
        <v>55</v>
      </c>
      <c r="C51" s="2" t="s">
        <v>15</v>
      </c>
      <c r="D51" s="2" t="s">
        <v>26</v>
      </c>
      <c r="K51" s="2"/>
      <c r="L51" s="8">
        <v>50</v>
      </c>
      <c r="M51" s="8"/>
      <c r="N51" s="2" t="s">
        <v>56</v>
      </c>
      <c r="O51" s="18" t="s">
        <v>57</v>
      </c>
    </row>
    <row r="52" spans="1:15" x14ac:dyDescent="0.2">
      <c r="A52" s="2">
        <f t="shared" si="1"/>
        <v>5</v>
      </c>
      <c r="B52" s="7" t="s">
        <v>55</v>
      </c>
      <c r="C52" s="2" t="s">
        <v>15</v>
      </c>
      <c r="D52" s="2" t="s">
        <v>28</v>
      </c>
      <c r="E52" s="2" t="s">
        <v>54</v>
      </c>
      <c r="H52" s="2">
        <v>1.3</v>
      </c>
      <c r="K52" s="2"/>
      <c r="L52" s="8">
        <v>560</v>
      </c>
      <c r="M52" s="8"/>
      <c r="N52" s="2" t="s">
        <v>56</v>
      </c>
      <c r="O52" s="18" t="s">
        <v>57</v>
      </c>
    </row>
    <row r="53" spans="1:15" x14ac:dyDescent="0.2">
      <c r="A53" s="2">
        <f t="shared" si="1"/>
        <v>5</v>
      </c>
      <c r="B53" s="7" t="s">
        <v>55</v>
      </c>
      <c r="C53" s="2" t="s">
        <v>15</v>
      </c>
      <c r="D53" s="2" t="s">
        <v>29</v>
      </c>
      <c r="I53" s="2">
        <v>15</v>
      </c>
      <c r="K53" s="2"/>
      <c r="L53" s="2"/>
      <c r="M53" s="8">
        <v>14413</v>
      </c>
      <c r="N53" s="2" t="s">
        <v>58</v>
      </c>
      <c r="O53" s="18" t="s">
        <v>59</v>
      </c>
    </row>
    <row r="54" spans="1:15" x14ac:dyDescent="0.2">
      <c r="A54" s="2">
        <f t="shared" si="1"/>
        <v>5</v>
      </c>
      <c r="B54" s="7" t="s">
        <v>55</v>
      </c>
      <c r="C54" s="2" t="s">
        <v>15</v>
      </c>
      <c r="D54" s="2" t="s">
        <v>30</v>
      </c>
      <c r="I54" s="2">
        <v>0.8</v>
      </c>
      <c r="K54" s="2"/>
      <c r="L54" s="2"/>
      <c r="M54" s="8">
        <v>5276</v>
      </c>
      <c r="N54" s="2" t="s">
        <v>58</v>
      </c>
      <c r="O54" s="18" t="s">
        <v>59</v>
      </c>
    </row>
    <row r="55" spans="1:15" x14ac:dyDescent="0.2">
      <c r="A55" s="2">
        <f t="shared" si="1"/>
        <v>5</v>
      </c>
      <c r="B55" s="7" t="s">
        <v>55</v>
      </c>
      <c r="C55" s="2" t="s">
        <v>15</v>
      </c>
      <c r="D55" s="2" t="s">
        <v>31</v>
      </c>
      <c r="I55" s="2">
        <v>1</v>
      </c>
      <c r="K55" s="2"/>
      <c r="L55" s="2"/>
      <c r="M55" s="8">
        <v>2000</v>
      </c>
      <c r="N55" s="2" t="s">
        <v>204</v>
      </c>
      <c r="O55" s="2" t="s">
        <v>205</v>
      </c>
    </row>
    <row r="56" spans="1:15" s="12" customFormat="1" ht="16" thickBot="1" x14ac:dyDescent="0.25">
      <c r="A56" s="36">
        <f t="shared" si="1"/>
        <v>5</v>
      </c>
      <c r="B56" s="11" t="s">
        <v>55</v>
      </c>
      <c r="C56" s="12" t="s">
        <v>15</v>
      </c>
      <c r="D56" s="12" t="s">
        <v>32</v>
      </c>
      <c r="J56" s="14"/>
      <c r="K56" s="14"/>
      <c r="L56" s="13"/>
      <c r="M56" s="13">
        <v>11582</v>
      </c>
      <c r="N56" s="12" t="s">
        <v>58</v>
      </c>
      <c r="O56" s="15" t="s">
        <v>59</v>
      </c>
    </row>
    <row r="57" spans="1:15" s="5" customFormat="1" x14ac:dyDescent="0.2">
      <c r="A57" s="2">
        <f t="shared" si="1"/>
        <v>6</v>
      </c>
      <c r="B57" s="4" t="s">
        <v>60</v>
      </c>
      <c r="C57" s="5" t="s">
        <v>15</v>
      </c>
      <c r="D57" s="5" t="s">
        <v>16</v>
      </c>
      <c r="E57" s="5" t="s">
        <v>17</v>
      </c>
      <c r="F57" s="5">
        <v>20</v>
      </c>
      <c r="G57" s="5">
        <v>0.03</v>
      </c>
      <c r="L57" s="6">
        <v>302.42</v>
      </c>
      <c r="M57" s="6"/>
      <c r="N57" s="5" t="s">
        <v>61</v>
      </c>
      <c r="O57" s="17" t="s">
        <v>62</v>
      </c>
    </row>
    <row r="58" spans="1:15" x14ac:dyDescent="0.2">
      <c r="A58" s="2">
        <f t="shared" si="1"/>
        <v>6</v>
      </c>
      <c r="B58" s="7" t="s">
        <v>60</v>
      </c>
      <c r="C58" s="2" t="s">
        <v>15</v>
      </c>
      <c r="D58" s="10" t="s">
        <v>20</v>
      </c>
      <c r="K58" s="2"/>
      <c r="L58" s="8"/>
      <c r="M58" s="8"/>
    </row>
    <row r="59" spans="1:15" x14ac:dyDescent="0.2">
      <c r="A59" s="2">
        <f t="shared" si="1"/>
        <v>6</v>
      </c>
      <c r="B59" s="7" t="s">
        <v>60</v>
      </c>
      <c r="C59" s="2" t="s">
        <v>15</v>
      </c>
      <c r="D59" s="2" t="s">
        <v>21</v>
      </c>
      <c r="E59" s="2" t="s">
        <v>17</v>
      </c>
      <c r="F59" s="2">
        <v>30</v>
      </c>
      <c r="G59" s="2">
        <v>3.5999999999999997E-2</v>
      </c>
      <c r="K59" s="2"/>
      <c r="L59" s="8">
        <v>77.3</v>
      </c>
      <c r="M59" s="8"/>
      <c r="N59" s="2" t="s">
        <v>63</v>
      </c>
      <c r="O59" s="18" t="s">
        <v>64</v>
      </c>
    </row>
    <row r="60" spans="1:15" x14ac:dyDescent="0.2">
      <c r="A60" s="2">
        <f t="shared" si="1"/>
        <v>6</v>
      </c>
      <c r="B60" s="7" t="s">
        <v>60</v>
      </c>
      <c r="C60" s="2" t="s">
        <v>15</v>
      </c>
      <c r="D60" s="10" t="s">
        <v>25</v>
      </c>
      <c r="K60" s="2"/>
      <c r="L60" s="8"/>
      <c r="M60" s="8"/>
    </row>
    <row r="61" spans="1:15" x14ac:dyDescent="0.2">
      <c r="A61" s="2">
        <f t="shared" si="1"/>
        <v>6</v>
      </c>
      <c r="B61" s="7" t="s">
        <v>60</v>
      </c>
      <c r="C61" s="2" t="s">
        <v>15</v>
      </c>
      <c r="D61" s="2" t="s">
        <v>26</v>
      </c>
      <c r="E61" s="2" t="s">
        <v>65</v>
      </c>
      <c r="F61" s="2">
        <v>25</v>
      </c>
      <c r="G61" s="2">
        <v>3.4000000000000002E-2</v>
      </c>
      <c r="K61" s="2"/>
      <c r="L61" s="8">
        <v>211</v>
      </c>
      <c r="M61" s="8"/>
      <c r="N61" s="2" t="s">
        <v>66</v>
      </c>
      <c r="O61" s="18" t="s">
        <v>67</v>
      </c>
    </row>
    <row r="62" spans="1:15" x14ac:dyDescent="0.2">
      <c r="A62" s="2">
        <f t="shared" si="1"/>
        <v>6</v>
      </c>
      <c r="B62" s="7" t="s">
        <v>60</v>
      </c>
      <c r="C62" s="2" t="s">
        <v>15</v>
      </c>
      <c r="D62" s="2" t="s">
        <v>28</v>
      </c>
      <c r="H62" s="10"/>
      <c r="K62" s="2"/>
      <c r="L62" s="8">
        <v>801</v>
      </c>
      <c r="M62" s="8"/>
      <c r="N62" s="2" t="s">
        <v>68</v>
      </c>
      <c r="O62" s="18" t="s">
        <v>62</v>
      </c>
    </row>
    <row r="63" spans="1:15" x14ac:dyDescent="0.2">
      <c r="A63" s="2">
        <f t="shared" si="1"/>
        <v>6</v>
      </c>
      <c r="B63" s="7" t="s">
        <v>60</v>
      </c>
      <c r="C63" s="2" t="s">
        <v>15</v>
      </c>
      <c r="D63" s="2" t="s">
        <v>29</v>
      </c>
      <c r="I63" s="2">
        <v>13.5</v>
      </c>
      <c r="K63" s="2"/>
      <c r="L63" s="8"/>
      <c r="M63" s="8">
        <v>18520</v>
      </c>
      <c r="N63" s="2" t="s">
        <v>69</v>
      </c>
      <c r="O63" s="18" t="s">
        <v>70</v>
      </c>
    </row>
    <row r="64" spans="1:15" x14ac:dyDescent="0.2">
      <c r="A64" s="2">
        <f t="shared" si="1"/>
        <v>6</v>
      </c>
      <c r="B64" s="7" t="s">
        <v>60</v>
      </c>
      <c r="C64" s="2" t="s">
        <v>15</v>
      </c>
      <c r="D64" s="2" t="s">
        <v>30</v>
      </c>
      <c r="I64" s="2">
        <v>16</v>
      </c>
      <c r="K64" s="2"/>
      <c r="L64" s="8"/>
      <c r="M64" s="8">
        <v>8003.13</v>
      </c>
      <c r="N64" s="2" t="s">
        <v>68</v>
      </c>
      <c r="O64" s="18" t="s">
        <v>62</v>
      </c>
    </row>
    <row r="65" spans="1:15" x14ac:dyDescent="0.2">
      <c r="A65" s="2">
        <f t="shared" si="1"/>
        <v>6</v>
      </c>
      <c r="B65" s="7" t="s">
        <v>60</v>
      </c>
      <c r="C65" s="2" t="s">
        <v>15</v>
      </c>
      <c r="D65" s="2" t="s">
        <v>31</v>
      </c>
      <c r="I65" s="2">
        <v>1.2</v>
      </c>
      <c r="K65" s="2"/>
      <c r="L65" s="8"/>
      <c r="M65" s="8">
        <v>5512.77</v>
      </c>
      <c r="N65" s="2" t="s">
        <v>68</v>
      </c>
      <c r="O65" s="18" t="s">
        <v>62</v>
      </c>
    </row>
    <row r="66" spans="1:15" s="12" customFormat="1" ht="16" thickBot="1" x14ac:dyDescent="0.25">
      <c r="A66" s="36">
        <f t="shared" ref="A66:A97" si="2">IF(B66=B65,A65,A65+1)</f>
        <v>6</v>
      </c>
      <c r="B66" s="11" t="s">
        <v>60</v>
      </c>
      <c r="C66" s="12" t="s">
        <v>15</v>
      </c>
      <c r="D66" s="12" t="s">
        <v>32</v>
      </c>
      <c r="K66" s="12">
        <v>200</v>
      </c>
      <c r="L66" s="13"/>
      <c r="M66" s="13">
        <v>7955.94</v>
      </c>
      <c r="N66" s="12" t="s">
        <v>68</v>
      </c>
      <c r="O66" s="15" t="s">
        <v>62</v>
      </c>
    </row>
    <row r="67" spans="1:15" s="5" customFormat="1" x14ac:dyDescent="0.2">
      <c r="A67" s="2">
        <f t="shared" si="2"/>
        <v>7</v>
      </c>
      <c r="B67" s="4" t="s">
        <v>71</v>
      </c>
      <c r="C67" s="5" t="s">
        <v>15</v>
      </c>
      <c r="D67" s="5" t="s">
        <v>34</v>
      </c>
      <c r="E67" s="5" t="s">
        <v>27</v>
      </c>
      <c r="F67" s="5">
        <v>7</v>
      </c>
      <c r="G67" s="5">
        <v>3.5000000000000003E-2</v>
      </c>
      <c r="L67" s="6">
        <v>40.119999999999997</v>
      </c>
      <c r="M67" s="6"/>
      <c r="N67" s="5" t="s">
        <v>72</v>
      </c>
      <c r="O67" s="17" t="s">
        <v>73</v>
      </c>
    </row>
    <row r="68" spans="1:15" x14ac:dyDescent="0.2">
      <c r="A68" s="2">
        <f t="shared" si="2"/>
        <v>7</v>
      </c>
      <c r="B68" s="7" t="s">
        <v>71</v>
      </c>
      <c r="C68" s="2" t="s">
        <v>15</v>
      </c>
      <c r="D68" s="10" t="s">
        <v>20</v>
      </c>
      <c r="K68" s="2"/>
      <c r="L68" s="8"/>
      <c r="M68" s="8"/>
    </row>
    <row r="69" spans="1:15" x14ac:dyDescent="0.2">
      <c r="A69" s="2">
        <f t="shared" si="2"/>
        <v>7</v>
      </c>
      <c r="B69" s="7" t="s">
        <v>71</v>
      </c>
      <c r="C69" s="2" t="s">
        <v>15</v>
      </c>
      <c r="D69" s="2" t="s">
        <v>21</v>
      </c>
      <c r="E69" s="2" t="s">
        <v>65</v>
      </c>
      <c r="F69" s="2">
        <v>5</v>
      </c>
      <c r="G69" s="2">
        <v>3.4500000000000003E-2</v>
      </c>
      <c r="K69" s="2"/>
      <c r="L69" s="8">
        <v>14.5</v>
      </c>
      <c r="M69" s="8"/>
      <c r="N69" s="2" t="s">
        <v>74</v>
      </c>
      <c r="O69" s="18" t="s">
        <v>75</v>
      </c>
    </row>
    <row r="70" spans="1:15" x14ac:dyDescent="0.2">
      <c r="A70" s="2">
        <f t="shared" si="2"/>
        <v>7</v>
      </c>
      <c r="B70" s="7" t="s">
        <v>71</v>
      </c>
      <c r="C70" s="2" t="s">
        <v>15</v>
      </c>
      <c r="D70" s="2" t="s">
        <v>25</v>
      </c>
      <c r="E70" s="2" t="s">
        <v>65</v>
      </c>
      <c r="F70" s="2">
        <v>5</v>
      </c>
      <c r="G70" s="2">
        <v>3.4500000000000003E-2</v>
      </c>
      <c r="K70" s="2"/>
      <c r="L70" s="8">
        <v>154.35</v>
      </c>
      <c r="M70" s="8"/>
      <c r="N70" s="2" t="s">
        <v>76</v>
      </c>
      <c r="O70" s="18" t="s">
        <v>77</v>
      </c>
    </row>
    <row r="71" spans="1:15" x14ac:dyDescent="0.2">
      <c r="A71" s="2">
        <f t="shared" si="2"/>
        <v>7</v>
      </c>
      <c r="B71" s="7" t="s">
        <v>71</v>
      </c>
      <c r="C71" s="2" t="s">
        <v>15</v>
      </c>
      <c r="D71" s="2" t="s">
        <v>26</v>
      </c>
      <c r="E71" s="2" t="s">
        <v>17</v>
      </c>
      <c r="F71" s="2">
        <v>5</v>
      </c>
      <c r="G71" s="2">
        <v>3.7999999999999999E-2</v>
      </c>
      <c r="K71" s="2"/>
      <c r="L71" s="8">
        <v>93.2</v>
      </c>
      <c r="M71" s="8"/>
      <c r="N71" s="2" t="s">
        <v>78</v>
      </c>
      <c r="O71" s="18" t="s">
        <v>77</v>
      </c>
    </row>
    <row r="72" spans="1:15" x14ac:dyDescent="0.2">
      <c r="A72" s="2">
        <f t="shared" si="2"/>
        <v>7</v>
      </c>
      <c r="B72" s="7" t="s">
        <v>71</v>
      </c>
      <c r="C72" s="2" t="s">
        <v>15</v>
      </c>
      <c r="D72" s="2" t="s">
        <v>28</v>
      </c>
      <c r="E72" s="2" t="s">
        <v>79</v>
      </c>
      <c r="H72" s="2">
        <v>2.6</v>
      </c>
      <c r="K72" s="2"/>
      <c r="L72" s="8">
        <v>384</v>
      </c>
      <c r="M72" s="8"/>
      <c r="N72" s="2" t="s">
        <v>78</v>
      </c>
      <c r="O72" s="18" t="s">
        <v>77</v>
      </c>
    </row>
    <row r="73" spans="1:15" x14ac:dyDescent="0.2">
      <c r="A73" s="2">
        <f t="shared" si="2"/>
        <v>7</v>
      </c>
      <c r="B73" s="7" t="s">
        <v>71</v>
      </c>
      <c r="C73" s="2" t="s">
        <v>15</v>
      </c>
      <c r="D73" s="2" t="s">
        <v>28</v>
      </c>
      <c r="E73" s="2" t="s">
        <v>80</v>
      </c>
      <c r="H73" s="2">
        <v>2.8</v>
      </c>
      <c r="K73" s="2"/>
      <c r="L73" s="8">
        <v>173</v>
      </c>
      <c r="M73" s="8"/>
      <c r="O73" s="18"/>
    </row>
    <row r="74" spans="1:15" x14ac:dyDescent="0.2">
      <c r="A74" s="2">
        <f t="shared" si="2"/>
        <v>7</v>
      </c>
      <c r="B74" s="7" t="s">
        <v>71</v>
      </c>
      <c r="C74" s="2" t="s">
        <v>15</v>
      </c>
      <c r="D74" s="2" t="s">
        <v>29</v>
      </c>
      <c r="I74" s="2">
        <v>5</v>
      </c>
      <c r="K74" s="2"/>
      <c r="L74" s="2"/>
      <c r="M74" s="8">
        <v>921.77</v>
      </c>
      <c r="N74" s="2" t="s">
        <v>81</v>
      </c>
      <c r="O74" s="18" t="s">
        <v>82</v>
      </c>
    </row>
    <row r="75" spans="1:15" x14ac:dyDescent="0.2">
      <c r="A75" s="2">
        <f t="shared" si="2"/>
        <v>7</v>
      </c>
      <c r="B75" s="7" t="s">
        <v>71</v>
      </c>
      <c r="C75" s="2" t="s">
        <v>15</v>
      </c>
      <c r="D75" s="2" t="s">
        <v>30</v>
      </c>
      <c r="I75" s="2">
        <v>28</v>
      </c>
      <c r="K75" s="2"/>
      <c r="L75" s="8"/>
      <c r="M75" s="8">
        <v>2084.04</v>
      </c>
      <c r="N75" s="2" t="s">
        <v>83</v>
      </c>
      <c r="O75" s="18" t="s">
        <v>84</v>
      </c>
    </row>
    <row r="76" spans="1:15" x14ac:dyDescent="0.2">
      <c r="A76" s="2">
        <f t="shared" si="2"/>
        <v>7</v>
      </c>
      <c r="B76" s="7" t="s">
        <v>71</v>
      </c>
      <c r="C76" s="2" t="s">
        <v>15</v>
      </c>
      <c r="D76" s="2" t="s">
        <v>31</v>
      </c>
      <c r="I76" s="2">
        <v>20</v>
      </c>
      <c r="K76" s="2"/>
      <c r="L76" s="8"/>
      <c r="M76" s="8">
        <v>19850</v>
      </c>
    </row>
    <row r="77" spans="1:15" s="12" customFormat="1" ht="16" thickBot="1" x14ac:dyDescent="0.25">
      <c r="A77" s="36">
        <f t="shared" si="2"/>
        <v>7</v>
      </c>
      <c r="B77" s="11" t="s">
        <v>71</v>
      </c>
      <c r="C77" s="12" t="s">
        <v>15</v>
      </c>
      <c r="D77" s="12" t="s">
        <v>32</v>
      </c>
      <c r="K77" s="12">
        <v>200</v>
      </c>
      <c r="L77" s="13"/>
      <c r="M77" s="13">
        <v>1083.24</v>
      </c>
      <c r="N77" s="12" t="s">
        <v>85</v>
      </c>
      <c r="O77" s="15" t="s">
        <v>86</v>
      </c>
    </row>
    <row r="78" spans="1:15" s="5" customFormat="1" x14ac:dyDescent="0.2">
      <c r="A78" s="2">
        <f t="shared" si="2"/>
        <v>8</v>
      </c>
      <c r="B78" s="4" t="s">
        <v>87</v>
      </c>
      <c r="C78" s="5" t="s">
        <v>88</v>
      </c>
      <c r="D78" s="5" t="s">
        <v>34</v>
      </c>
      <c r="E78" s="2" t="s">
        <v>17</v>
      </c>
      <c r="F78" s="2">
        <v>5</v>
      </c>
      <c r="G78" s="2">
        <v>3.5999999999999997E-2</v>
      </c>
      <c r="L78" s="6">
        <v>93.49</v>
      </c>
      <c r="M78" s="6"/>
      <c r="N78" s="2" t="s">
        <v>89</v>
      </c>
      <c r="O78" s="18" t="s">
        <v>90</v>
      </c>
    </row>
    <row r="79" spans="1:15" x14ac:dyDescent="0.2">
      <c r="A79" s="2">
        <f t="shared" si="2"/>
        <v>8</v>
      </c>
      <c r="B79" s="7" t="s">
        <v>87</v>
      </c>
      <c r="C79" s="2" t="s">
        <v>88</v>
      </c>
      <c r="D79" s="2" t="s">
        <v>20</v>
      </c>
      <c r="F79" s="2">
        <v>2</v>
      </c>
      <c r="G79" s="2">
        <v>3.5999999999999997E-2</v>
      </c>
      <c r="K79" s="2"/>
      <c r="L79" s="8">
        <v>4.8099999999999996</v>
      </c>
      <c r="M79" s="8"/>
      <c r="N79" s="2" t="s">
        <v>89</v>
      </c>
      <c r="O79" s="18" t="s">
        <v>90</v>
      </c>
    </row>
    <row r="80" spans="1:15" x14ac:dyDescent="0.2">
      <c r="A80" s="2">
        <f t="shared" si="2"/>
        <v>8</v>
      </c>
      <c r="B80" s="7" t="s">
        <v>87</v>
      </c>
      <c r="C80" s="2" t="s">
        <v>88</v>
      </c>
      <c r="D80" s="2" t="s">
        <v>21</v>
      </c>
      <c r="E80" s="2" t="s">
        <v>91</v>
      </c>
      <c r="F80" s="2">
        <v>6</v>
      </c>
      <c r="G80" s="2">
        <v>2.5999999999999999E-2</v>
      </c>
      <c r="K80" s="2"/>
      <c r="L80" s="8">
        <v>31.98</v>
      </c>
      <c r="M80" s="8"/>
      <c r="N80" s="2" t="s">
        <v>89</v>
      </c>
      <c r="O80" s="18" t="s">
        <v>90</v>
      </c>
    </row>
    <row r="81" spans="1:15" x14ac:dyDescent="0.2">
      <c r="A81" s="2">
        <f t="shared" si="2"/>
        <v>8</v>
      </c>
      <c r="B81" s="7" t="s">
        <v>87</v>
      </c>
      <c r="C81" s="2" t="s">
        <v>88</v>
      </c>
      <c r="D81" s="2" t="s">
        <v>25</v>
      </c>
      <c r="E81" s="2" t="s">
        <v>91</v>
      </c>
      <c r="F81" s="2">
        <v>6</v>
      </c>
      <c r="G81" s="2">
        <v>2.5999999999999999E-2</v>
      </c>
      <c r="K81" s="2"/>
      <c r="L81" s="8">
        <v>159.80000000000001</v>
      </c>
      <c r="M81" s="8"/>
      <c r="N81" s="2" t="s">
        <v>92</v>
      </c>
      <c r="O81" s="18" t="s">
        <v>90</v>
      </c>
    </row>
    <row r="82" spans="1:15" x14ac:dyDescent="0.2">
      <c r="A82" s="2">
        <f t="shared" si="2"/>
        <v>8</v>
      </c>
      <c r="B82" s="7" t="s">
        <v>87</v>
      </c>
      <c r="C82" s="2" t="s">
        <v>88</v>
      </c>
      <c r="D82" s="2" t="s">
        <v>26</v>
      </c>
      <c r="E82" s="2" t="s">
        <v>27</v>
      </c>
      <c r="F82" s="2">
        <v>30</v>
      </c>
      <c r="G82" s="2">
        <v>3.5999999999999997E-2</v>
      </c>
      <c r="K82" s="2"/>
      <c r="L82" s="8">
        <v>173.25</v>
      </c>
      <c r="M82" s="8"/>
      <c r="N82" s="2" t="s">
        <v>93</v>
      </c>
      <c r="O82" s="18" t="s">
        <v>90</v>
      </c>
    </row>
    <row r="83" spans="1:15" x14ac:dyDescent="0.2">
      <c r="A83" s="2">
        <f t="shared" si="2"/>
        <v>8</v>
      </c>
      <c r="B83" s="7" t="s">
        <v>87</v>
      </c>
      <c r="C83" s="2" t="s">
        <v>88</v>
      </c>
      <c r="D83" s="2" t="s">
        <v>28</v>
      </c>
      <c r="E83" s="2" t="s">
        <v>54</v>
      </c>
      <c r="H83" s="2">
        <v>1</v>
      </c>
      <c r="K83" s="2"/>
      <c r="L83" s="28">
        <v>654.36</v>
      </c>
      <c r="M83" s="8"/>
      <c r="N83" s="2" t="s">
        <v>93</v>
      </c>
      <c r="O83" s="18" t="s">
        <v>90</v>
      </c>
    </row>
    <row r="84" spans="1:15" x14ac:dyDescent="0.2">
      <c r="A84" s="2">
        <f t="shared" si="2"/>
        <v>8</v>
      </c>
      <c r="B84" s="7" t="s">
        <v>87</v>
      </c>
      <c r="C84" s="2" t="s">
        <v>88</v>
      </c>
      <c r="D84" s="2" t="s">
        <v>28</v>
      </c>
      <c r="E84" s="2" t="s">
        <v>80</v>
      </c>
      <c r="H84" s="2">
        <v>1</v>
      </c>
      <c r="K84" s="2"/>
      <c r="L84" s="28">
        <v>735.96</v>
      </c>
      <c r="M84" s="8"/>
      <c r="N84" s="2" t="s">
        <v>92</v>
      </c>
      <c r="O84" s="18" t="s">
        <v>90</v>
      </c>
    </row>
    <row r="85" spans="1:15" x14ac:dyDescent="0.2">
      <c r="A85" s="2">
        <f t="shared" si="2"/>
        <v>8</v>
      </c>
      <c r="B85" s="7" t="s">
        <v>87</v>
      </c>
      <c r="C85" s="2" t="s">
        <v>88</v>
      </c>
      <c r="D85" s="2" t="s">
        <v>28</v>
      </c>
      <c r="E85" s="2" t="s">
        <v>94</v>
      </c>
      <c r="H85" s="2">
        <v>1</v>
      </c>
      <c r="K85" s="2"/>
      <c r="L85" s="28">
        <v>328.58</v>
      </c>
      <c r="M85" s="8"/>
      <c r="N85" s="2" t="s">
        <v>95</v>
      </c>
      <c r="O85" s="18" t="s">
        <v>90</v>
      </c>
    </row>
    <row r="86" spans="1:15" x14ac:dyDescent="0.2">
      <c r="A86" s="2">
        <f t="shared" si="2"/>
        <v>8</v>
      </c>
      <c r="B86" s="7" t="s">
        <v>87</v>
      </c>
      <c r="C86" s="2" t="s">
        <v>88</v>
      </c>
      <c r="D86" s="2" t="s">
        <v>29</v>
      </c>
      <c r="I86" s="2">
        <v>5.08</v>
      </c>
      <c r="K86" s="2"/>
      <c r="L86" s="8"/>
      <c r="M86" s="8">
        <v>5247.52</v>
      </c>
      <c r="N86" s="2" t="s">
        <v>96</v>
      </c>
      <c r="O86" s="18" t="s">
        <v>97</v>
      </c>
    </row>
    <row r="87" spans="1:15" x14ac:dyDescent="0.2">
      <c r="A87" s="2">
        <f t="shared" si="2"/>
        <v>8</v>
      </c>
      <c r="B87" s="7" t="s">
        <v>87</v>
      </c>
      <c r="C87" s="2" t="s">
        <v>88</v>
      </c>
      <c r="D87" s="2" t="s">
        <v>30</v>
      </c>
      <c r="I87" s="2">
        <v>18</v>
      </c>
      <c r="K87" s="2"/>
      <c r="L87" s="8"/>
      <c r="M87" s="8">
        <v>5775.48</v>
      </c>
      <c r="N87" s="2" t="s">
        <v>98</v>
      </c>
      <c r="O87" s="18" t="s">
        <v>99</v>
      </c>
    </row>
    <row r="88" spans="1:15" x14ac:dyDescent="0.2">
      <c r="A88" s="2">
        <f t="shared" si="2"/>
        <v>8</v>
      </c>
      <c r="B88" s="7" t="s">
        <v>87</v>
      </c>
      <c r="C88" s="2" t="s">
        <v>88</v>
      </c>
      <c r="D88" s="2" t="s">
        <v>31</v>
      </c>
      <c r="I88" s="2">
        <v>1</v>
      </c>
      <c r="K88" s="2"/>
      <c r="L88" s="8"/>
      <c r="M88" s="8">
        <v>1375</v>
      </c>
      <c r="N88" s="2" t="s">
        <v>100</v>
      </c>
      <c r="O88" s="18" t="s">
        <v>101</v>
      </c>
    </row>
    <row r="89" spans="1:15" s="12" customFormat="1" ht="16" thickBot="1" x14ac:dyDescent="0.25">
      <c r="A89" s="36">
        <f t="shared" si="2"/>
        <v>8</v>
      </c>
      <c r="B89" s="11" t="s">
        <v>87</v>
      </c>
      <c r="C89" s="12" t="s">
        <v>88</v>
      </c>
      <c r="D89" s="12" t="s">
        <v>32</v>
      </c>
      <c r="I89" s="12">
        <v>57.8</v>
      </c>
      <c r="L89" s="13"/>
      <c r="M89" s="20">
        <v>56990.8</v>
      </c>
      <c r="N89" s="13" t="s">
        <v>102</v>
      </c>
      <c r="O89" s="15" t="s">
        <v>99</v>
      </c>
    </row>
    <row r="90" spans="1:15" s="5" customFormat="1" x14ac:dyDescent="0.2">
      <c r="A90" s="25">
        <f t="shared" si="2"/>
        <v>9</v>
      </c>
      <c r="B90" s="23" t="s">
        <v>103</v>
      </c>
      <c r="C90" s="21" t="s">
        <v>15</v>
      </c>
      <c r="D90" s="21" t="s">
        <v>34</v>
      </c>
      <c r="E90" s="5" t="s">
        <v>27</v>
      </c>
      <c r="F90" s="2">
        <v>12</v>
      </c>
      <c r="G90" s="2">
        <v>3.3000000000000002E-2</v>
      </c>
      <c r="L90" s="6">
        <v>150</v>
      </c>
      <c r="M90" s="6"/>
      <c r="N90" s="5" t="s">
        <v>104</v>
      </c>
      <c r="O90" s="17" t="s">
        <v>105</v>
      </c>
    </row>
    <row r="91" spans="1:15" x14ac:dyDescent="0.2">
      <c r="A91" s="25">
        <f t="shared" si="2"/>
        <v>9</v>
      </c>
      <c r="B91" s="24" t="s">
        <v>103</v>
      </c>
      <c r="C91" s="25" t="s">
        <v>15</v>
      </c>
      <c r="D91" s="25" t="s">
        <v>20</v>
      </c>
      <c r="K91" s="2"/>
      <c r="L91" s="8"/>
      <c r="M91" s="8"/>
    </row>
    <row r="92" spans="1:15" x14ac:dyDescent="0.2">
      <c r="A92" s="25">
        <f t="shared" si="2"/>
        <v>9</v>
      </c>
      <c r="B92" s="24" t="s">
        <v>103</v>
      </c>
      <c r="C92" s="25" t="s">
        <v>15</v>
      </c>
      <c r="D92" s="25" t="s">
        <v>21</v>
      </c>
      <c r="E92" s="2" t="s">
        <v>17</v>
      </c>
      <c r="F92" s="2">
        <v>10</v>
      </c>
      <c r="G92" s="2">
        <v>3.3000000000000002E-2</v>
      </c>
      <c r="K92" s="2"/>
      <c r="L92" s="8">
        <v>40</v>
      </c>
      <c r="M92" s="8"/>
      <c r="N92" s="2" t="s">
        <v>106</v>
      </c>
      <c r="O92" s="18" t="s">
        <v>107</v>
      </c>
    </row>
    <row r="93" spans="1:15" x14ac:dyDescent="0.2">
      <c r="A93" s="25">
        <f t="shared" si="2"/>
        <v>9</v>
      </c>
      <c r="B93" s="24" t="s">
        <v>103</v>
      </c>
      <c r="C93" s="25" t="s">
        <v>15</v>
      </c>
      <c r="D93" s="25" t="s">
        <v>25</v>
      </c>
      <c r="E93" s="2" t="s">
        <v>17</v>
      </c>
      <c r="F93" s="2">
        <v>10</v>
      </c>
      <c r="G93" s="2">
        <v>3.3000000000000002E-2</v>
      </c>
      <c r="K93" s="2"/>
      <c r="L93" s="8">
        <v>190</v>
      </c>
      <c r="M93" s="8"/>
      <c r="N93" s="2" t="s">
        <v>106</v>
      </c>
      <c r="O93" s="18" t="s">
        <v>107</v>
      </c>
    </row>
    <row r="94" spans="1:15" x14ac:dyDescent="0.2">
      <c r="A94" s="25">
        <f t="shared" si="2"/>
        <v>9</v>
      </c>
      <c r="B94" s="24" t="s">
        <v>103</v>
      </c>
      <c r="C94" s="25" t="s">
        <v>15</v>
      </c>
      <c r="D94" s="25" t="s">
        <v>26</v>
      </c>
      <c r="E94" s="2" t="s">
        <v>17</v>
      </c>
      <c r="F94" s="2">
        <v>10</v>
      </c>
      <c r="G94" s="2">
        <v>3.3000000000000002E-2</v>
      </c>
      <c r="K94" s="2"/>
      <c r="L94" s="8">
        <v>130</v>
      </c>
      <c r="M94" s="8"/>
    </row>
    <row r="95" spans="1:15" x14ac:dyDescent="0.2">
      <c r="A95" s="25">
        <f t="shared" si="2"/>
        <v>9</v>
      </c>
      <c r="B95" s="24" t="s">
        <v>103</v>
      </c>
      <c r="C95" s="25" t="s">
        <v>15</v>
      </c>
      <c r="D95" s="25" t="s">
        <v>28</v>
      </c>
      <c r="E95" s="2" t="s">
        <v>80</v>
      </c>
      <c r="H95" s="2">
        <v>0.9</v>
      </c>
      <c r="K95" s="2"/>
      <c r="L95" s="8">
        <v>1080</v>
      </c>
      <c r="M95" s="8"/>
      <c r="N95" s="2" t="s">
        <v>108</v>
      </c>
      <c r="O95" s="18" t="s">
        <v>109</v>
      </c>
    </row>
    <row r="96" spans="1:15" x14ac:dyDescent="0.2">
      <c r="A96" s="25">
        <f t="shared" si="2"/>
        <v>9</v>
      </c>
      <c r="B96" s="24" t="s">
        <v>103</v>
      </c>
      <c r="C96" s="25" t="s">
        <v>15</v>
      </c>
      <c r="D96" s="25" t="s">
        <v>28</v>
      </c>
      <c r="E96" s="2" t="s">
        <v>94</v>
      </c>
      <c r="H96" s="2">
        <v>0.9</v>
      </c>
      <c r="K96" s="2"/>
      <c r="L96" s="8">
        <v>1030</v>
      </c>
      <c r="M96" s="8"/>
      <c r="N96" s="2" t="s">
        <v>110</v>
      </c>
      <c r="O96" s="18" t="s">
        <v>109</v>
      </c>
    </row>
    <row r="97" spans="1:15" x14ac:dyDescent="0.2">
      <c r="A97" s="25">
        <f t="shared" si="2"/>
        <v>9</v>
      </c>
      <c r="B97" s="24" t="s">
        <v>103</v>
      </c>
      <c r="C97" s="25" t="s">
        <v>15</v>
      </c>
      <c r="D97" s="25" t="s">
        <v>28</v>
      </c>
      <c r="E97" s="2" t="s">
        <v>111</v>
      </c>
      <c r="H97" s="2">
        <v>0.9</v>
      </c>
      <c r="K97" s="2"/>
      <c r="L97" s="8">
        <v>930</v>
      </c>
      <c r="M97" s="8"/>
      <c r="N97" s="2" t="s">
        <v>112</v>
      </c>
      <c r="O97" s="18" t="s">
        <v>109</v>
      </c>
    </row>
    <row r="98" spans="1:15" x14ac:dyDescent="0.2">
      <c r="A98" s="25">
        <f t="shared" ref="A98:A129" si="3">IF(B98=B97,A97,A97+1)</f>
        <v>9</v>
      </c>
      <c r="B98" s="24" t="s">
        <v>103</v>
      </c>
      <c r="C98" s="25" t="s">
        <v>15</v>
      </c>
      <c r="D98" s="25" t="s">
        <v>29</v>
      </c>
      <c r="I98" s="2">
        <v>15</v>
      </c>
      <c r="K98" s="2"/>
      <c r="L98" s="8"/>
      <c r="M98" s="8">
        <v>11150</v>
      </c>
      <c r="N98" s="2" t="s">
        <v>113</v>
      </c>
      <c r="O98" s="18" t="s">
        <v>114</v>
      </c>
    </row>
    <row r="99" spans="1:15" x14ac:dyDescent="0.2">
      <c r="A99" s="25">
        <f t="shared" si="3"/>
        <v>9</v>
      </c>
      <c r="B99" s="24" t="s">
        <v>103</v>
      </c>
      <c r="C99" s="25" t="s">
        <v>15</v>
      </c>
      <c r="D99" s="25" t="s">
        <v>30</v>
      </c>
      <c r="K99" s="2"/>
      <c r="L99" s="8"/>
      <c r="M99" s="8">
        <v>2000</v>
      </c>
      <c r="N99" s="2" t="s">
        <v>113</v>
      </c>
      <c r="O99" s="18" t="s">
        <v>114</v>
      </c>
    </row>
    <row r="100" spans="1:15" x14ac:dyDescent="0.2">
      <c r="A100" s="25">
        <f t="shared" si="3"/>
        <v>9</v>
      </c>
      <c r="B100" s="24" t="s">
        <v>103</v>
      </c>
      <c r="C100" s="25" t="s">
        <v>15</v>
      </c>
      <c r="D100" s="25" t="s">
        <v>31</v>
      </c>
      <c r="K100" s="2"/>
      <c r="L100" s="8"/>
      <c r="M100" s="8">
        <v>2200</v>
      </c>
      <c r="N100" s="2" t="s">
        <v>206</v>
      </c>
      <c r="O100" s="27" t="s">
        <v>207</v>
      </c>
    </row>
    <row r="101" spans="1:15" s="12" customFormat="1" ht="16" thickBot="1" x14ac:dyDescent="0.25">
      <c r="A101" s="37">
        <f t="shared" si="3"/>
        <v>9</v>
      </c>
      <c r="B101" s="26" t="s">
        <v>103</v>
      </c>
      <c r="C101" s="22" t="s">
        <v>15</v>
      </c>
      <c r="D101" s="22" t="s">
        <v>32</v>
      </c>
      <c r="J101" s="14"/>
      <c r="K101" s="12">
        <v>200</v>
      </c>
      <c r="L101" s="13"/>
      <c r="M101" s="13">
        <v>3650</v>
      </c>
      <c r="N101" s="12" t="s">
        <v>115</v>
      </c>
      <c r="O101" s="15" t="s">
        <v>116</v>
      </c>
    </row>
    <row r="102" spans="1:15" s="5" customFormat="1" x14ac:dyDescent="0.2">
      <c r="A102" s="2">
        <f t="shared" si="3"/>
        <v>10</v>
      </c>
      <c r="B102" s="4" t="s">
        <v>117</v>
      </c>
      <c r="C102" s="21" t="s">
        <v>15</v>
      </c>
      <c r="D102" s="21" t="s">
        <v>34</v>
      </c>
      <c r="E102" s="5" t="s">
        <v>17</v>
      </c>
      <c r="F102" s="5">
        <v>30</v>
      </c>
      <c r="G102" s="5">
        <v>0.03</v>
      </c>
      <c r="L102" s="16">
        <v>56.76</v>
      </c>
      <c r="M102" s="6"/>
      <c r="N102" s="5" t="s">
        <v>118</v>
      </c>
      <c r="O102" s="17" t="s">
        <v>119</v>
      </c>
    </row>
    <row r="103" spans="1:15" x14ac:dyDescent="0.2">
      <c r="A103" s="2">
        <f t="shared" si="3"/>
        <v>10</v>
      </c>
      <c r="B103" s="7" t="s">
        <v>117</v>
      </c>
      <c r="C103" s="25" t="s">
        <v>15</v>
      </c>
      <c r="D103" s="25" t="s">
        <v>20</v>
      </c>
      <c r="K103" s="2"/>
      <c r="L103" s="9"/>
      <c r="M103" s="8"/>
    </row>
    <row r="104" spans="1:15" x14ac:dyDescent="0.2">
      <c r="A104" s="2">
        <f t="shared" si="3"/>
        <v>10</v>
      </c>
      <c r="B104" s="7" t="s">
        <v>117</v>
      </c>
      <c r="C104" s="25" t="s">
        <v>15</v>
      </c>
      <c r="D104" s="25" t="s">
        <v>21</v>
      </c>
      <c r="E104" s="2" t="s">
        <v>17</v>
      </c>
      <c r="F104" s="2">
        <v>25</v>
      </c>
      <c r="G104" s="2">
        <v>0.03</v>
      </c>
      <c r="K104" s="2"/>
      <c r="L104" s="8">
        <v>51.6</v>
      </c>
      <c r="M104" s="8"/>
      <c r="N104" s="2" t="s">
        <v>120</v>
      </c>
      <c r="O104" s="27" t="s">
        <v>121</v>
      </c>
    </row>
    <row r="105" spans="1:15" x14ac:dyDescent="0.2">
      <c r="A105" s="2">
        <f t="shared" si="3"/>
        <v>10</v>
      </c>
      <c r="B105" s="7" t="s">
        <v>117</v>
      </c>
      <c r="C105" s="25" t="s">
        <v>15</v>
      </c>
      <c r="D105" s="25" t="s">
        <v>25</v>
      </c>
      <c r="K105" s="2"/>
      <c r="L105" s="8"/>
      <c r="M105" s="8"/>
    </row>
    <row r="106" spans="1:15" x14ac:dyDescent="0.2">
      <c r="A106" s="2">
        <f t="shared" si="3"/>
        <v>10</v>
      </c>
      <c r="B106" s="7" t="s">
        <v>117</v>
      </c>
      <c r="C106" s="25" t="s">
        <v>15</v>
      </c>
      <c r="D106" s="25" t="s">
        <v>26</v>
      </c>
      <c r="E106" s="2" t="s">
        <v>27</v>
      </c>
      <c r="K106" s="2"/>
      <c r="L106" s="8">
        <v>30.48</v>
      </c>
      <c r="M106" s="8"/>
      <c r="N106" s="2" t="s">
        <v>122</v>
      </c>
      <c r="O106" s="27" t="s">
        <v>123</v>
      </c>
    </row>
    <row r="107" spans="1:15" x14ac:dyDescent="0.2">
      <c r="A107" s="2">
        <f t="shared" si="3"/>
        <v>10</v>
      </c>
      <c r="B107" s="7" t="s">
        <v>117</v>
      </c>
      <c r="C107" s="25" t="s">
        <v>15</v>
      </c>
      <c r="D107" s="25" t="s">
        <v>28</v>
      </c>
      <c r="E107" s="2" t="s">
        <v>54</v>
      </c>
      <c r="H107" s="2">
        <v>0.9</v>
      </c>
      <c r="K107" s="2"/>
      <c r="L107" s="9">
        <v>156</v>
      </c>
      <c r="M107" s="8"/>
      <c r="N107" s="2" t="s">
        <v>124</v>
      </c>
      <c r="O107" s="27" t="s">
        <v>125</v>
      </c>
    </row>
    <row r="108" spans="1:15" x14ac:dyDescent="0.2">
      <c r="A108" s="2">
        <f t="shared" si="3"/>
        <v>10</v>
      </c>
      <c r="B108" s="7" t="s">
        <v>117</v>
      </c>
      <c r="C108" s="25" t="s">
        <v>15</v>
      </c>
      <c r="D108" s="25" t="s">
        <v>29</v>
      </c>
      <c r="I108" s="2">
        <v>32</v>
      </c>
      <c r="K108" s="2"/>
      <c r="L108" s="8">
        <v>14520</v>
      </c>
      <c r="M108" s="8"/>
      <c r="N108" s="2" t="s">
        <v>126</v>
      </c>
      <c r="O108" s="27" t="s">
        <v>127</v>
      </c>
    </row>
    <row r="109" spans="1:15" x14ac:dyDescent="0.2">
      <c r="A109" s="2">
        <f t="shared" si="3"/>
        <v>10</v>
      </c>
      <c r="B109" s="7" t="s">
        <v>117</v>
      </c>
      <c r="C109" s="25" t="s">
        <v>15</v>
      </c>
      <c r="D109" s="25" t="s">
        <v>30</v>
      </c>
      <c r="I109" s="2">
        <v>22</v>
      </c>
      <c r="K109" s="2"/>
      <c r="M109" s="8">
        <v>6000</v>
      </c>
      <c r="N109" s="2" t="s">
        <v>124</v>
      </c>
      <c r="O109" s="27" t="s">
        <v>125</v>
      </c>
    </row>
    <row r="110" spans="1:15" x14ac:dyDescent="0.2">
      <c r="A110" s="2">
        <f t="shared" si="3"/>
        <v>10</v>
      </c>
      <c r="B110" s="7" t="s">
        <v>117</v>
      </c>
      <c r="C110" s="25" t="s">
        <v>15</v>
      </c>
      <c r="D110" s="25" t="s">
        <v>31</v>
      </c>
      <c r="I110" s="2">
        <v>1</v>
      </c>
      <c r="K110" s="2"/>
      <c r="L110" s="8">
        <v>969</v>
      </c>
      <c r="M110" s="8"/>
      <c r="N110" s="2" t="s">
        <v>128</v>
      </c>
      <c r="O110" s="27" t="s">
        <v>129</v>
      </c>
    </row>
    <row r="111" spans="1:15" s="12" customFormat="1" ht="16" thickBot="1" x14ac:dyDescent="0.25">
      <c r="A111" s="36">
        <f t="shared" si="3"/>
        <v>10</v>
      </c>
      <c r="B111" s="11" t="s">
        <v>117</v>
      </c>
      <c r="C111" s="22" t="s">
        <v>15</v>
      </c>
      <c r="D111" s="22" t="s">
        <v>32</v>
      </c>
      <c r="J111" s="14"/>
      <c r="K111" s="12">
        <v>180</v>
      </c>
      <c r="L111" s="13">
        <v>4240</v>
      </c>
      <c r="M111" s="13"/>
      <c r="N111" s="12" t="s">
        <v>124</v>
      </c>
      <c r="O111" s="15" t="s">
        <v>125</v>
      </c>
    </row>
    <row r="112" spans="1:15" s="5" customFormat="1" x14ac:dyDescent="0.2">
      <c r="A112" s="2">
        <f t="shared" si="3"/>
        <v>11</v>
      </c>
      <c r="B112" s="4" t="s">
        <v>130</v>
      </c>
      <c r="C112" s="21" t="s">
        <v>15</v>
      </c>
      <c r="D112" s="21" t="s">
        <v>34</v>
      </c>
      <c r="E112" s="5" t="s">
        <v>27</v>
      </c>
      <c r="F112" s="5">
        <v>15</v>
      </c>
      <c r="G112" s="5">
        <v>0.03</v>
      </c>
      <c r="L112" s="6">
        <v>77.31</v>
      </c>
      <c r="M112" s="6"/>
      <c r="N112" s="5" t="s">
        <v>131</v>
      </c>
      <c r="O112" s="17" t="s">
        <v>132</v>
      </c>
    </row>
    <row r="113" spans="1:15" x14ac:dyDescent="0.2">
      <c r="A113" s="2">
        <f t="shared" si="3"/>
        <v>11</v>
      </c>
      <c r="B113" s="7" t="s">
        <v>130</v>
      </c>
      <c r="C113" s="25" t="s">
        <v>15</v>
      </c>
      <c r="D113" s="25" t="s">
        <v>20</v>
      </c>
      <c r="E113" s="2" t="s">
        <v>27</v>
      </c>
      <c r="F113" s="2">
        <v>15</v>
      </c>
      <c r="G113" s="2">
        <v>0.03</v>
      </c>
      <c r="K113" s="2"/>
      <c r="L113" s="8">
        <v>14.21</v>
      </c>
      <c r="M113" s="8"/>
      <c r="N113" s="2" t="s">
        <v>133</v>
      </c>
      <c r="O113" s="18" t="s">
        <v>132</v>
      </c>
    </row>
    <row r="114" spans="1:15" x14ac:dyDescent="0.2">
      <c r="A114" s="2">
        <f t="shared" si="3"/>
        <v>11</v>
      </c>
      <c r="B114" s="7" t="s">
        <v>130</v>
      </c>
      <c r="C114" s="25" t="s">
        <v>15</v>
      </c>
      <c r="D114" s="25" t="s">
        <v>21</v>
      </c>
      <c r="E114" s="10"/>
      <c r="F114" s="10"/>
      <c r="G114" s="10"/>
      <c r="K114" s="2"/>
      <c r="L114" s="8">
        <v>27.6</v>
      </c>
      <c r="M114" s="8"/>
      <c r="N114" s="2" t="s">
        <v>134</v>
      </c>
      <c r="O114" s="18" t="s">
        <v>135</v>
      </c>
    </row>
    <row r="115" spans="1:15" x14ac:dyDescent="0.2">
      <c r="A115" s="2">
        <f t="shared" si="3"/>
        <v>11</v>
      </c>
      <c r="B115" s="7" t="s">
        <v>130</v>
      </c>
      <c r="C115" s="25" t="s">
        <v>15</v>
      </c>
      <c r="D115" s="31" t="s">
        <v>25</v>
      </c>
      <c r="K115" s="2"/>
      <c r="L115" s="8"/>
      <c r="M115" s="8"/>
    </row>
    <row r="116" spans="1:15" x14ac:dyDescent="0.2">
      <c r="A116" s="2">
        <f t="shared" si="3"/>
        <v>11</v>
      </c>
      <c r="B116" s="7" t="s">
        <v>130</v>
      </c>
      <c r="C116" s="25" t="s">
        <v>15</v>
      </c>
      <c r="D116" s="25" t="s">
        <v>26</v>
      </c>
      <c r="E116" s="2" t="s">
        <v>65</v>
      </c>
      <c r="F116" s="2">
        <v>10</v>
      </c>
      <c r="G116" s="2">
        <v>3.5000000000000003E-2</v>
      </c>
      <c r="K116" s="2"/>
      <c r="L116" s="8">
        <v>44</v>
      </c>
      <c r="M116" s="8"/>
      <c r="N116" s="2" t="s">
        <v>136</v>
      </c>
      <c r="O116" s="18" t="s">
        <v>137</v>
      </c>
    </row>
    <row r="117" spans="1:15" x14ac:dyDescent="0.2">
      <c r="A117" s="2">
        <f t="shared" si="3"/>
        <v>11</v>
      </c>
      <c r="B117" s="7" t="s">
        <v>130</v>
      </c>
      <c r="C117" s="25" t="s">
        <v>15</v>
      </c>
      <c r="D117" s="25" t="s">
        <v>28</v>
      </c>
      <c r="E117" s="2" t="s">
        <v>79</v>
      </c>
      <c r="H117" s="2">
        <v>0.8</v>
      </c>
      <c r="K117" s="2"/>
      <c r="L117" s="8">
        <v>801</v>
      </c>
      <c r="M117" s="8"/>
      <c r="N117" s="2" t="s">
        <v>134</v>
      </c>
      <c r="O117" s="18" t="s">
        <v>135</v>
      </c>
    </row>
    <row r="118" spans="1:15" x14ac:dyDescent="0.2">
      <c r="A118" s="2">
        <f t="shared" si="3"/>
        <v>11</v>
      </c>
      <c r="B118" s="7" t="s">
        <v>130</v>
      </c>
      <c r="C118" s="25" t="s">
        <v>15</v>
      </c>
      <c r="D118" s="25" t="s">
        <v>29</v>
      </c>
      <c r="K118" s="2"/>
      <c r="L118" s="8"/>
      <c r="M118" s="8">
        <v>1092.5</v>
      </c>
      <c r="N118" s="2" t="s">
        <v>138</v>
      </c>
      <c r="O118" s="18" t="s">
        <v>135</v>
      </c>
    </row>
    <row r="119" spans="1:15" x14ac:dyDescent="0.2">
      <c r="A119" s="2">
        <f t="shared" si="3"/>
        <v>11</v>
      </c>
      <c r="B119" s="7" t="s">
        <v>130</v>
      </c>
      <c r="C119" s="25" t="s">
        <v>15</v>
      </c>
      <c r="D119" s="25" t="s">
        <v>30</v>
      </c>
      <c r="K119" s="2"/>
      <c r="L119" s="8"/>
      <c r="M119" s="8">
        <v>1725</v>
      </c>
      <c r="N119" s="2" t="s">
        <v>139</v>
      </c>
      <c r="O119" s="18" t="s">
        <v>135</v>
      </c>
    </row>
    <row r="120" spans="1:15" x14ac:dyDescent="0.2">
      <c r="A120" s="2">
        <f t="shared" si="3"/>
        <v>11</v>
      </c>
      <c r="B120" s="7" t="s">
        <v>130</v>
      </c>
      <c r="C120" s="25" t="s">
        <v>15</v>
      </c>
      <c r="D120" s="25" t="s">
        <v>31</v>
      </c>
      <c r="I120" s="10"/>
      <c r="K120" s="2"/>
      <c r="L120" s="8"/>
      <c r="M120" s="8">
        <v>954.5</v>
      </c>
      <c r="N120" s="2" t="s">
        <v>140</v>
      </c>
      <c r="O120" s="18" t="s">
        <v>135</v>
      </c>
    </row>
    <row r="121" spans="1:15" s="12" customFormat="1" ht="16" thickBot="1" x14ac:dyDescent="0.25">
      <c r="A121" s="36">
        <f t="shared" si="3"/>
        <v>11</v>
      </c>
      <c r="B121" s="11" t="s">
        <v>130</v>
      </c>
      <c r="C121" s="22" t="s">
        <v>15</v>
      </c>
      <c r="D121" s="22" t="s">
        <v>32</v>
      </c>
      <c r="J121" s="14"/>
      <c r="K121" s="12">
        <v>200</v>
      </c>
      <c r="L121" s="13"/>
      <c r="M121" s="13">
        <v>770.5</v>
      </c>
      <c r="N121" s="13" t="s">
        <v>141</v>
      </c>
      <c r="O121" s="15" t="s">
        <v>135</v>
      </c>
    </row>
    <row r="122" spans="1:15" s="5" customFormat="1" x14ac:dyDescent="0.2">
      <c r="A122" s="2">
        <f t="shared" si="3"/>
        <v>12</v>
      </c>
      <c r="B122" s="4" t="s">
        <v>142</v>
      </c>
      <c r="C122" s="5" t="s">
        <v>143</v>
      </c>
      <c r="D122" s="21" t="s">
        <v>34</v>
      </c>
      <c r="E122" s="5" t="s">
        <v>65</v>
      </c>
      <c r="F122" s="5">
        <v>4</v>
      </c>
      <c r="G122" s="5">
        <v>3.4000000000000002E-2</v>
      </c>
      <c r="L122" s="6">
        <v>73.55</v>
      </c>
      <c r="M122" s="6"/>
      <c r="N122" s="5" t="s">
        <v>144</v>
      </c>
      <c r="O122" s="17" t="s">
        <v>145</v>
      </c>
    </row>
    <row r="123" spans="1:15" x14ac:dyDescent="0.2">
      <c r="A123" s="2">
        <f t="shared" si="3"/>
        <v>12</v>
      </c>
      <c r="B123" s="7" t="s">
        <v>142</v>
      </c>
      <c r="C123" s="2" t="s">
        <v>143</v>
      </c>
      <c r="D123" s="25" t="s">
        <v>20</v>
      </c>
      <c r="E123" s="25" t="s">
        <v>65</v>
      </c>
      <c r="F123" s="25">
        <v>2</v>
      </c>
      <c r="G123" s="25">
        <v>3.4000000000000002E-2</v>
      </c>
      <c r="H123" s="25"/>
      <c r="I123" s="25"/>
      <c r="J123" s="25"/>
      <c r="K123" s="25"/>
      <c r="L123" s="8">
        <v>2.95</v>
      </c>
      <c r="M123" s="8"/>
      <c r="N123" s="2" t="s">
        <v>146</v>
      </c>
      <c r="O123" s="18" t="s">
        <v>145</v>
      </c>
    </row>
    <row r="124" spans="1:15" x14ac:dyDescent="0.2">
      <c r="A124" s="2">
        <f t="shared" si="3"/>
        <v>12</v>
      </c>
      <c r="B124" s="7" t="s">
        <v>142</v>
      </c>
      <c r="C124" s="2" t="s">
        <v>143</v>
      </c>
      <c r="D124" s="25" t="s">
        <v>34</v>
      </c>
      <c r="E124" s="25" t="s">
        <v>27</v>
      </c>
      <c r="F124" s="25">
        <v>4</v>
      </c>
      <c r="G124" s="25">
        <v>3.5999999999999997E-2</v>
      </c>
      <c r="H124" s="25"/>
      <c r="I124" s="25"/>
      <c r="J124" s="25"/>
      <c r="K124" s="25"/>
      <c r="L124" s="8">
        <v>78.650000000000006</v>
      </c>
      <c r="M124" s="8"/>
      <c r="N124" s="2" t="s">
        <v>147</v>
      </c>
      <c r="O124" s="18" t="s">
        <v>145</v>
      </c>
    </row>
    <row r="125" spans="1:15" x14ac:dyDescent="0.2">
      <c r="A125" s="2">
        <f t="shared" si="3"/>
        <v>12</v>
      </c>
      <c r="B125" s="7" t="s">
        <v>142</v>
      </c>
      <c r="C125" s="2" t="s">
        <v>143</v>
      </c>
      <c r="D125" s="25" t="s">
        <v>20</v>
      </c>
      <c r="E125" s="25" t="s">
        <v>27</v>
      </c>
      <c r="F125" s="25">
        <v>2</v>
      </c>
      <c r="G125" s="25">
        <v>3.5999999999999997E-2</v>
      </c>
      <c r="H125" s="25"/>
      <c r="I125" s="25"/>
      <c r="J125" s="25"/>
      <c r="K125" s="25"/>
      <c r="L125" s="8">
        <v>3.95</v>
      </c>
      <c r="M125" s="8"/>
      <c r="N125" s="2" t="s">
        <v>147</v>
      </c>
      <c r="O125" s="18" t="s">
        <v>145</v>
      </c>
    </row>
    <row r="126" spans="1:15" x14ac:dyDescent="0.2">
      <c r="A126" s="2">
        <f t="shared" si="3"/>
        <v>12</v>
      </c>
      <c r="B126" s="7" t="s">
        <v>142</v>
      </c>
      <c r="C126" s="2" t="s">
        <v>143</v>
      </c>
      <c r="D126" s="25" t="s">
        <v>21</v>
      </c>
      <c r="E126" s="25" t="s">
        <v>17</v>
      </c>
      <c r="F126" s="25">
        <v>4</v>
      </c>
      <c r="G126" s="25">
        <v>3.9E-2</v>
      </c>
      <c r="H126" s="25"/>
      <c r="I126" s="25"/>
      <c r="J126" s="25"/>
      <c r="K126" s="25"/>
      <c r="L126" s="8">
        <v>171.14</v>
      </c>
      <c r="M126" s="8"/>
      <c r="N126" s="2" t="s">
        <v>148</v>
      </c>
      <c r="O126" s="18" t="s">
        <v>145</v>
      </c>
    </row>
    <row r="127" spans="1:15" x14ac:dyDescent="0.2">
      <c r="A127" s="2">
        <f t="shared" si="3"/>
        <v>12</v>
      </c>
      <c r="B127" s="7" t="s">
        <v>142</v>
      </c>
      <c r="C127" s="2" t="s">
        <v>143</v>
      </c>
      <c r="D127" s="25" t="s">
        <v>25</v>
      </c>
      <c r="E127" s="25" t="s">
        <v>65</v>
      </c>
      <c r="F127" s="25">
        <v>10</v>
      </c>
      <c r="G127" s="25">
        <v>2.9000000000000001E-2</v>
      </c>
      <c r="H127" s="25"/>
      <c r="I127" s="25"/>
      <c r="J127" s="25"/>
      <c r="K127" s="25"/>
      <c r="L127" s="8">
        <v>173.47</v>
      </c>
      <c r="M127" s="8"/>
      <c r="N127" s="2" t="s">
        <v>149</v>
      </c>
      <c r="O127" s="18" t="s">
        <v>145</v>
      </c>
    </row>
    <row r="128" spans="1:15" x14ac:dyDescent="0.2">
      <c r="A128" s="2">
        <f t="shared" si="3"/>
        <v>12</v>
      </c>
      <c r="B128" s="7" t="s">
        <v>142</v>
      </c>
      <c r="C128" s="2" t="s">
        <v>143</v>
      </c>
      <c r="D128" s="25" t="s">
        <v>25</v>
      </c>
      <c r="E128" s="25" t="s">
        <v>27</v>
      </c>
      <c r="F128" s="25">
        <v>10</v>
      </c>
      <c r="G128" s="25">
        <v>3.4000000000000002E-2</v>
      </c>
      <c r="H128" s="25"/>
      <c r="I128" s="25"/>
      <c r="J128" s="25"/>
      <c r="K128" s="25"/>
      <c r="L128" s="8">
        <v>184.33</v>
      </c>
      <c r="M128" s="8"/>
      <c r="N128" s="2" t="s">
        <v>150</v>
      </c>
      <c r="O128" s="18" t="s">
        <v>145</v>
      </c>
    </row>
    <row r="129" spans="1:15" x14ac:dyDescent="0.2">
      <c r="A129" s="2">
        <f t="shared" si="3"/>
        <v>12</v>
      </c>
      <c r="B129" s="7" t="s">
        <v>142</v>
      </c>
      <c r="C129" s="2" t="s">
        <v>143</v>
      </c>
      <c r="D129" s="25" t="s">
        <v>26</v>
      </c>
      <c r="E129" s="25" t="s">
        <v>17</v>
      </c>
      <c r="F129" s="25">
        <v>3</v>
      </c>
      <c r="G129" s="25">
        <v>3.5999999999999997E-2</v>
      </c>
      <c r="H129" s="25"/>
      <c r="I129" s="25"/>
      <c r="J129" s="25"/>
      <c r="K129" s="25"/>
      <c r="L129" s="8">
        <v>9.8699999999999992</v>
      </c>
      <c r="M129" s="8"/>
      <c r="N129" s="2" t="s">
        <v>151</v>
      </c>
      <c r="O129" s="18" t="s">
        <v>145</v>
      </c>
    </row>
    <row r="130" spans="1:15" x14ac:dyDescent="0.2">
      <c r="A130" s="2">
        <f t="shared" ref="A130:A161" si="4">IF(B130=B129,A129,A129+1)</f>
        <v>12</v>
      </c>
      <c r="B130" s="7" t="s">
        <v>142</v>
      </c>
      <c r="C130" s="2" t="s">
        <v>143</v>
      </c>
      <c r="D130" s="25" t="s">
        <v>26</v>
      </c>
      <c r="E130" s="25" t="s">
        <v>65</v>
      </c>
      <c r="F130" s="25">
        <v>4</v>
      </c>
      <c r="G130" s="25">
        <v>2.7E-2</v>
      </c>
      <c r="H130" s="25"/>
      <c r="I130" s="25"/>
      <c r="J130" s="25"/>
      <c r="K130" s="25"/>
      <c r="L130" s="8">
        <v>14.88</v>
      </c>
      <c r="M130" s="8"/>
      <c r="N130" s="2" t="s">
        <v>151</v>
      </c>
      <c r="O130" s="18" t="s">
        <v>145</v>
      </c>
    </row>
    <row r="131" spans="1:15" x14ac:dyDescent="0.2">
      <c r="A131" s="2">
        <f t="shared" si="4"/>
        <v>12</v>
      </c>
      <c r="B131" s="7" t="s">
        <v>142</v>
      </c>
      <c r="C131" s="2" t="s">
        <v>143</v>
      </c>
      <c r="D131" s="25" t="s">
        <v>26</v>
      </c>
      <c r="E131" s="2" t="s">
        <v>27</v>
      </c>
      <c r="F131" s="25">
        <v>4</v>
      </c>
      <c r="G131" s="25">
        <v>3.4000000000000002E-2</v>
      </c>
      <c r="K131" s="2"/>
      <c r="L131" s="8">
        <v>13.12</v>
      </c>
      <c r="M131" s="8"/>
      <c r="N131" s="2" t="s">
        <v>151</v>
      </c>
      <c r="O131" s="18" t="s">
        <v>145</v>
      </c>
    </row>
    <row r="132" spans="1:15" x14ac:dyDescent="0.2">
      <c r="A132" s="2">
        <f t="shared" si="4"/>
        <v>12</v>
      </c>
      <c r="B132" s="7" t="s">
        <v>142</v>
      </c>
      <c r="C132" s="2" t="s">
        <v>143</v>
      </c>
      <c r="D132" s="25" t="s">
        <v>28</v>
      </c>
      <c r="E132" s="2" t="s">
        <v>54</v>
      </c>
      <c r="F132" s="25"/>
      <c r="G132" s="25"/>
      <c r="H132" s="25">
        <v>1.3</v>
      </c>
      <c r="K132" s="2"/>
      <c r="L132" s="8">
        <v>349.94</v>
      </c>
      <c r="M132" s="8"/>
      <c r="N132" s="2" t="s">
        <v>151</v>
      </c>
      <c r="O132" s="18" t="s">
        <v>145</v>
      </c>
    </row>
    <row r="133" spans="1:15" x14ac:dyDescent="0.2">
      <c r="A133" s="2">
        <f t="shared" si="4"/>
        <v>12</v>
      </c>
      <c r="B133" s="7" t="s">
        <v>142</v>
      </c>
      <c r="C133" s="2" t="s">
        <v>143</v>
      </c>
      <c r="D133" s="25" t="s">
        <v>28</v>
      </c>
      <c r="E133" s="2" t="s">
        <v>94</v>
      </c>
      <c r="F133" s="25"/>
      <c r="G133" s="25"/>
      <c r="H133" s="25"/>
      <c r="K133" s="2"/>
      <c r="L133" s="8">
        <v>318.73</v>
      </c>
      <c r="M133" s="8"/>
      <c r="N133" s="2" t="s">
        <v>151</v>
      </c>
      <c r="O133" s="18" t="s">
        <v>145</v>
      </c>
    </row>
    <row r="134" spans="1:15" x14ac:dyDescent="0.2">
      <c r="A134" s="2">
        <f t="shared" si="4"/>
        <v>12</v>
      </c>
      <c r="B134" s="7" t="s">
        <v>142</v>
      </c>
      <c r="C134" s="2" t="s">
        <v>143</v>
      </c>
      <c r="D134" s="25" t="s">
        <v>28</v>
      </c>
      <c r="E134" s="2" t="s">
        <v>80</v>
      </c>
      <c r="H134" s="25">
        <v>1.1000000000000001</v>
      </c>
      <c r="K134" s="2"/>
      <c r="L134" s="8">
        <v>560.03</v>
      </c>
      <c r="M134" s="8"/>
      <c r="N134" s="2" t="s">
        <v>151</v>
      </c>
      <c r="O134" s="18" t="s">
        <v>145</v>
      </c>
    </row>
    <row r="135" spans="1:15" x14ac:dyDescent="0.2">
      <c r="A135" s="2">
        <f t="shared" si="4"/>
        <v>12</v>
      </c>
      <c r="B135" s="7" t="s">
        <v>142</v>
      </c>
      <c r="C135" s="2" t="s">
        <v>143</v>
      </c>
      <c r="D135" s="25" t="s">
        <v>29</v>
      </c>
      <c r="H135" s="25"/>
      <c r="I135" s="2">
        <v>4</v>
      </c>
      <c r="K135" s="2"/>
      <c r="M135" s="8">
        <v>4350</v>
      </c>
      <c r="N135" s="2" t="s">
        <v>151</v>
      </c>
      <c r="O135" s="18" t="s">
        <v>145</v>
      </c>
    </row>
    <row r="136" spans="1:15" x14ac:dyDescent="0.2">
      <c r="A136" s="2">
        <f t="shared" si="4"/>
        <v>12</v>
      </c>
      <c r="B136" s="7" t="s">
        <v>142</v>
      </c>
      <c r="C136" s="2" t="s">
        <v>143</v>
      </c>
      <c r="D136" s="25" t="s">
        <v>30</v>
      </c>
      <c r="I136" s="2">
        <v>20</v>
      </c>
      <c r="K136" s="2"/>
      <c r="M136" s="8">
        <v>3375</v>
      </c>
      <c r="N136" s="2" t="s">
        <v>151</v>
      </c>
      <c r="O136" s="18" t="s">
        <v>145</v>
      </c>
    </row>
    <row r="137" spans="1:15" x14ac:dyDescent="0.2">
      <c r="A137" s="2">
        <f t="shared" si="4"/>
        <v>12</v>
      </c>
      <c r="B137" s="7" t="s">
        <v>142</v>
      </c>
      <c r="C137" s="2" t="s">
        <v>143</v>
      </c>
      <c r="D137" s="25" t="s">
        <v>31</v>
      </c>
      <c r="I137" s="2">
        <v>4</v>
      </c>
      <c r="K137" s="2"/>
      <c r="M137" s="8">
        <v>4450</v>
      </c>
      <c r="N137" s="2" t="s">
        <v>151</v>
      </c>
      <c r="O137" s="18" t="s">
        <v>145</v>
      </c>
    </row>
    <row r="138" spans="1:15" s="12" customFormat="1" ht="16" thickBot="1" x14ac:dyDescent="0.25">
      <c r="A138" s="36">
        <f t="shared" si="4"/>
        <v>12</v>
      </c>
      <c r="B138" s="11" t="s">
        <v>142</v>
      </c>
      <c r="C138" s="12" t="s">
        <v>143</v>
      </c>
      <c r="D138" s="30" t="s">
        <v>32</v>
      </c>
      <c r="I138" s="14"/>
      <c r="M138" s="13">
        <v>19500</v>
      </c>
      <c r="N138" s="12" t="s">
        <v>151</v>
      </c>
      <c r="O138" s="15" t="s">
        <v>145</v>
      </c>
    </row>
    <row r="139" spans="1:15" s="5" customFormat="1" x14ac:dyDescent="0.2">
      <c r="A139" s="2">
        <f t="shared" si="4"/>
        <v>13</v>
      </c>
      <c r="B139" s="4" t="s">
        <v>152</v>
      </c>
      <c r="C139" s="21" t="s">
        <v>15</v>
      </c>
      <c r="D139" s="21" t="s">
        <v>34</v>
      </c>
      <c r="E139" s="5" t="s">
        <v>17</v>
      </c>
      <c r="F139" s="5">
        <v>10</v>
      </c>
      <c r="G139" s="5">
        <v>3.5999999999999997E-2</v>
      </c>
      <c r="L139" s="6">
        <v>76.95</v>
      </c>
      <c r="M139" s="6"/>
      <c r="N139" s="5" t="s">
        <v>153</v>
      </c>
      <c r="O139" s="17" t="s">
        <v>154</v>
      </c>
    </row>
    <row r="140" spans="1:15" x14ac:dyDescent="0.2">
      <c r="A140" s="2">
        <f t="shared" si="4"/>
        <v>13</v>
      </c>
      <c r="B140" s="7" t="s">
        <v>152</v>
      </c>
      <c r="C140" s="25" t="s">
        <v>15</v>
      </c>
      <c r="D140" s="25" t="s">
        <v>20</v>
      </c>
      <c r="E140" s="2" t="s">
        <v>17</v>
      </c>
      <c r="F140" s="2">
        <v>2</v>
      </c>
      <c r="G140" s="2">
        <v>3.5999999999999997E-2</v>
      </c>
      <c r="K140" s="2"/>
      <c r="L140" s="8">
        <v>2.2999999999999998</v>
      </c>
      <c r="M140" s="8"/>
      <c r="N140" s="2" t="s">
        <v>155</v>
      </c>
      <c r="O140" s="18" t="s">
        <v>154</v>
      </c>
    </row>
    <row r="141" spans="1:15" x14ac:dyDescent="0.2">
      <c r="A141" s="2">
        <f t="shared" si="4"/>
        <v>13</v>
      </c>
      <c r="B141" s="7" t="s">
        <v>152</v>
      </c>
      <c r="C141" s="25" t="s">
        <v>15</v>
      </c>
      <c r="D141" s="25" t="s">
        <v>21</v>
      </c>
      <c r="K141" s="2"/>
      <c r="L141" s="8">
        <v>35</v>
      </c>
      <c r="M141" s="8"/>
      <c r="N141" s="2" t="s">
        <v>156</v>
      </c>
      <c r="O141" s="18" t="s">
        <v>154</v>
      </c>
    </row>
    <row r="142" spans="1:15" x14ac:dyDescent="0.2">
      <c r="A142" s="2">
        <f t="shared" si="4"/>
        <v>13</v>
      </c>
      <c r="B142" s="7" t="s">
        <v>152</v>
      </c>
      <c r="C142" s="25" t="s">
        <v>15</v>
      </c>
      <c r="D142" s="31" t="s">
        <v>25</v>
      </c>
      <c r="K142" s="2"/>
      <c r="L142" s="8"/>
      <c r="M142" s="8"/>
    </row>
    <row r="143" spans="1:15" x14ac:dyDescent="0.2">
      <c r="A143" s="2">
        <f t="shared" si="4"/>
        <v>13</v>
      </c>
      <c r="B143" s="7" t="s">
        <v>152</v>
      </c>
      <c r="C143" s="25" t="s">
        <v>15</v>
      </c>
      <c r="D143" s="25" t="s">
        <v>26</v>
      </c>
      <c r="E143" s="2" t="s">
        <v>17</v>
      </c>
      <c r="F143" s="2">
        <v>5</v>
      </c>
      <c r="G143" s="2">
        <v>3.5000000000000003E-2</v>
      </c>
      <c r="K143" s="2"/>
      <c r="L143" s="8">
        <v>39.1</v>
      </c>
      <c r="M143" s="8"/>
      <c r="N143" s="2" t="s">
        <v>155</v>
      </c>
      <c r="O143" s="18" t="s">
        <v>154</v>
      </c>
    </row>
    <row r="144" spans="1:15" x14ac:dyDescent="0.2">
      <c r="A144" s="2">
        <f t="shared" si="4"/>
        <v>13</v>
      </c>
      <c r="B144" s="7" t="s">
        <v>152</v>
      </c>
      <c r="C144" s="25" t="s">
        <v>15</v>
      </c>
      <c r="D144" s="25" t="s">
        <v>28</v>
      </c>
      <c r="E144" s="2" t="s">
        <v>54</v>
      </c>
      <c r="H144" s="2">
        <v>0.9</v>
      </c>
      <c r="K144" s="2"/>
      <c r="L144" s="8">
        <v>282.63</v>
      </c>
      <c r="M144" s="8"/>
    </row>
    <row r="145" spans="1:15" x14ac:dyDescent="0.2">
      <c r="A145" s="2">
        <f t="shared" si="4"/>
        <v>13</v>
      </c>
      <c r="B145" s="7" t="s">
        <v>152</v>
      </c>
      <c r="C145" s="25" t="s">
        <v>15</v>
      </c>
      <c r="D145" s="25" t="s">
        <v>29</v>
      </c>
      <c r="I145" s="2">
        <v>6</v>
      </c>
      <c r="K145" s="2"/>
      <c r="L145" s="8"/>
      <c r="M145" s="8">
        <v>6400</v>
      </c>
    </row>
    <row r="146" spans="1:15" x14ac:dyDescent="0.2">
      <c r="A146" s="2">
        <f t="shared" si="4"/>
        <v>13</v>
      </c>
      <c r="B146" s="7" t="s">
        <v>152</v>
      </c>
      <c r="C146" s="25" t="s">
        <v>15</v>
      </c>
      <c r="D146" s="25" t="s">
        <v>30</v>
      </c>
      <c r="I146" s="2">
        <v>24</v>
      </c>
      <c r="K146" s="2"/>
      <c r="L146" s="8"/>
      <c r="M146" s="8">
        <v>2000</v>
      </c>
    </row>
    <row r="147" spans="1:15" x14ac:dyDescent="0.2">
      <c r="A147" s="2">
        <f t="shared" si="4"/>
        <v>13</v>
      </c>
      <c r="B147" s="7" t="s">
        <v>152</v>
      </c>
      <c r="C147" s="25" t="s">
        <v>15</v>
      </c>
      <c r="D147" s="25" t="s">
        <v>31</v>
      </c>
      <c r="I147" s="2">
        <v>1</v>
      </c>
      <c r="K147" s="2"/>
      <c r="L147" s="8"/>
      <c r="M147" s="8">
        <v>1400</v>
      </c>
    </row>
    <row r="148" spans="1:15" s="12" customFormat="1" ht="16" thickBot="1" x14ac:dyDescent="0.25">
      <c r="A148" s="36">
        <f t="shared" si="4"/>
        <v>13</v>
      </c>
      <c r="B148" s="11" t="s">
        <v>152</v>
      </c>
      <c r="C148" s="22" t="s">
        <v>15</v>
      </c>
      <c r="D148" s="30" t="s">
        <v>32</v>
      </c>
      <c r="L148" s="13"/>
      <c r="M148" s="13"/>
    </row>
    <row r="149" spans="1:15" s="5" customFormat="1" x14ac:dyDescent="0.2">
      <c r="A149" s="2">
        <f t="shared" si="4"/>
        <v>14</v>
      </c>
      <c r="B149" s="4" t="s">
        <v>157</v>
      </c>
      <c r="C149" s="21" t="s">
        <v>15</v>
      </c>
      <c r="D149" s="21" t="s">
        <v>34</v>
      </c>
      <c r="E149" s="5" t="s">
        <v>17</v>
      </c>
      <c r="F149" s="5">
        <v>8</v>
      </c>
      <c r="G149" s="5">
        <v>0.04</v>
      </c>
      <c r="L149" s="6">
        <v>250</v>
      </c>
      <c r="M149" s="6"/>
      <c r="N149" s="5" t="s">
        <v>195</v>
      </c>
      <c r="O149" s="17" t="s">
        <v>196</v>
      </c>
    </row>
    <row r="150" spans="1:15" x14ac:dyDescent="0.2">
      <c r="A150" s="2">
        <f t="shared" si="4"/>
        <v>14</v>
      </c>
      <c r="B150" s="7" t="s">
        <v>157</v>
      </c>
      <c r="C150" s="25" t="s">
        <v>15</v>
      </c>
      <c r="D150" s="25" t="s">
        <v>20</v>
      </c>
      <c r="E150" s="2" t="s">
        <v>17</v>
      </c>
      <c r="F150" s="2">
        <v>2</v>
      </c>
      <c r="G150" s="2">
        <v>0.04</v>
      </c>
      <c r="K150" s="2"/>
      <c r="L150" s="8">
        <v>16</v>
      </c>
      <c r="M150" s="8"/>
    </row>
    <row r="151" spans="1:15" x14ac:dyDescent="0.2">
      <c r="A151" s="2">
        <f t="shared" si="4"/>
        <v>14</v>
      </c>
      <c r="B151" s="7" t="s">
        <v>157</v>
      </c>
      <c r="C151" s="25" t="s">
        <v>15</v>
      </c>
      <c r="D151" s="25" t="s">
        <v>21</v>
      </c>
      <c r="E151" s="2" t="s">
        <v>17</v>
      </c>
      <c r="F151" s="2">
        <v>30</v>
      </c>
      <c r="G151" s="2">
        <v>0.04</v>
      </c>
      <c r="K151" s="2"/>
      <c r="L151" s="8">
        <v>90</v>
      </c>
      <c r="M151" s="8"/>
    </row>
    <row r="152" spans="1:15" x14ac:dyDescent="0.2">
      <c r="A152" s="2">
        <f t="shared" si="4"/>
        <v>14</v>
      </c>
      <c r="B152" s="7" t="s">
        <v>157</v>
      </c>
      <c r="C152" s="25" t="s">
        <v>15</v>
      </c>
      <c r="D152" s="25" t="s">
        <v>25</v>
      </c>
      <c r="E152" s="2" t="s">
        <v>17</v>
      </c>
      <c r="F152" s="2">
        <v>25</v>
      </c>
      <c r="G152" s="2">
        <v>0.04</v>
      </c>
      <c r="K152" s="2"/>
      <c r="L152" s="8">
        <v>193</v>
      </c>
      <c r="M152" s="8"/>
      <c r="N152" s="2" t="s">
        <v>158</v>
      </c>
      <c r="O152" s="18" t="s">
        <v>159</v>
      </c>
    </row>
    <row r="153" spans="1:15" x14ac:dyDescent="0.2">
      <c r="A153" s="2">
        <f t="shared" si="4"/>
        <v>14</v>
      </c>
      <c r="B153" s="7" t="s">
        <v>157</v>
      </c>
      <c r="C153" s="25" t="s">
        <v>15</v>
      </c>
      <c r="D153" s="25" t="s">
        <v>26</v>
      </c>
      <c r="E153" s="2" t="s">
        <v>91</v>
      </c>
      <c r="F153" s="2">
        <v>15</v>
      </c>
      <c r="G153" s="2">
        <v>2.1999999999999999E-2</v>
      </c>
      <c r="K153" s="2"/>
      <c r="L153" s="8">
        <v>90</v>
      </c>
      <c r="M153" s="8"/>
      <c r="N153" s="2" t="s">
        <v>160</v>
      </c>
      <c r="O153" s="18" t="s">
        <v>161</v>
      </c>
    </row>
    <row r="154" spans="1:15" x14ac:dyDescent="0.2">
      <c r="A154" s="2">
        <f t="shared" si="4"/>
        <v>14</v>
      </c>
      <c r="B154" s="7" t="s">
        <v>157</v>
      </c>
      <c r="C154" s="25" t="s">
        <v>15</v>
      </c>
      <c r="D154" s="25" t="s">
        <v>28</v>
      </c>
      <c r="E154" s="2" t="s">
        <v>80</v>
      </c>
      <c r="H154" s="2">
        <v>0.84</v>
      </c>
      <c r="K154" s="2"/>
      <c r="L154" s="8">
        <v>370</v>
      </c>
      <c r="M154" s="8"/>
      <c r="N154" s="2" t="s">
        <v>158</v>
      </c>
      <c r="O154" s="18" t="s">
        <v>159</v>
      </c>
    </row>
    <row r="155" spans="1:15" x14ac:dyDescent="0.2">
      <c r="A155" s="2">
        <f t="shared" si="4"/>
        <v>14</v>
      </c>
      <c r="B155" s="7" t="s">
        <v>157</v>
      </c>
      <c r="C155" s="25" t="s">
        <v>15</v>
      </c>
      <c r="D155" s="25" t="s">
        <v>29</v>
      </c>
      <c r="I155" s="2">
        <v>1</v>
      </c>
      <c r="K155" s="2"/>
      <c r="L155" s="8"/>
      <c r="M155" s="8">
        <v>1500</v>
      </c>
      <c r="N155" s="2" t="s">
        <v>162</v>
      </c>
      <c r="O155" s="18" t="s">
        <v>163</v>
      </c>
    </row>
    <row r="156" spans="1:15" x14ac:dyDescent="0.2">
      <c r="A156" s="2">
        <f t="shared" si="4"/>
        <v>14</v>
      </c>
      <c r="B156" s="7" t="s">
        <v>157</v>
      </c>
      <c r="C156" s="25" t="s">
        <v>15</v>
      </c>
      <c r="D156" s="25" t="s">
        <v>30</v>
      </c>
      <c r="I156" s="2">
        <v>23</v>
      </c>
      <c r="K156" s="2"/>
      <c r="L156" s="8"/>
      <c r="M156" s="8">
        <v>3995</v>
      </c>
    </row>
    <row r="157" spans="1:15" x14ac:dyDescent="0.2">
      <c r="A157" s="2">
        <f t="shared" si="4"/>
        <v>14</v>
      </c>
      <c r="B157" s="7" t="s">
        <v>157</v>
      </c>
      <c r="C157" s="25" t="s">
        <v>15</v>
      </c>
      <c r="D157" s="25" t="s">
        <v>31</v>
      </c>
      <c r="I157" s="2">
        <v>1</v>
      </c>
      <c r="K157" s="2"/>
      <c r="L157" s="8"/>
      <c r="M157" s="8">
        <v>1100</v>
      </c>
      <c r="N157" s="2" t="s">
        <v>164</v>
      </c>
      <c r="O157" s="18" t="s">
        <v>165</v>
      </c>
    </row>
    <row r="158" spans="1:15" s="12" customFormat="1" ht="16" thickBot="1" x14ac:dyDescent="0.25">
      <c r="A158" s="36">
        <f t="shared" si="4"/>
        <v>14</v>
      </c>
      <c r="B158" s="11" t="s">
        <v>157</v>
      </c>
      <c r="C158" s="22" t="s">
        <v>15</v>
      </c>
      <c r="D158" s="30" t="s">
        <v>32</v>
      </c>
      <c r="J158" s="14"/>
      <c r="K158" s="12">
        <v>400</v>
      </c>
      <c r="L158" s="13"/>
      <c r="M158" s="13">
        <v>5000</v>
      </c>
      <c r="N158" s="12" t="s">
        <v>166</v>
      </c>
      <c r="O158" s="15" t="s">
        <v>167</v>
      </c>
    </row>
    <row r="159" spans="1:15" x14ac:dyDescent="0.2">
      <c r="A159" s="25">
        <f t="shared" si="4"/>
        <v>15</v>
      </c>
      <c r="B159" s="25" t="s">
        <v>168</v>
      </c>
      <c r="C159" s="25" t="s">
        <v>15</v>
      </c>
      <c r="D159" s="25" t="s">
        <v>34</v>
      </c>
      <c r="E159" s="2" t="s">
        <v>27</v>
      </c>
      <c r="F159" s="2">
        <v>10</v>
      </c>
      <c r="G159" s="2">
        <v>3.7999999999999999E-2</v>
      </c>
      <c r="K159" s="2"/>
      <c r="L159" s="3">
        <v>46</v>
      </c>
      <c r="M159" s="3"/>
      <c r="N159" s="2" t="s">
        <v>169</v>
      </c>
      <c r="O159" s="27" t="s">
        <v>170</v>
      </c>
    </row>
    <row r="160" spans="1:15" x14ac:dyDescent="0.2">
      <c r="A160" s="25">
        <f t="shared" si="4"/>
        <v>15</v>
      </c>
      <c r="B160" s="25" t="s">
        <v>168</v>
      </c>
      <c r="C160" s="25" t="s">
        <v>15</v>
      </c>
      <c r="D160" s="25" t="s">
        <v>20</v>
      </c>
      <c r="E160" s="2" t="s">
        <v>27</v>
      </c>
      <c r="F160" s="2">
        <v>2</v>
      </c>
      <c r="G160" s="2">
        <v>3.7999999999999999E-2</v>
      </c>
      <c r="K160" s="2"/>
      <c r="L160" s="3">
        <v>1.4</v>
      </c>
      <c r="M160" s="3"/>
      <c r="N160" s="2" t="s">
        <v>169</v>
      </c>
      <c r="O160" s="27" t="s">
        <v>170</v>
      </c>
    </row>
    <row r="161" spans="1:15" x14ac:dyDescent="0.2">
      <c r="A161" s="25">
        <f t="shared" si="4"/>
        <v>15</v>
      </c>
      <c r="B161" s="25" t="s">
        <v>168</v>
      </c>
      <c r="C161" s="25" t="s">
        <v>15</v>
      </c>
      <c r="D161" s="25" t="s">
        <v>21</v>
      </c>
      <c r="E161" s="2" t="s">
        <v>17</v>
      </c>
      <c r="F161" s="2">
        <v>16</v>
      </c>
      <c r="K161" s="2"/>
      <c r="L161" s="3">
        <v>20.399999999999999</v>
      </c>
      <c r="M161" s="3"/>
      <c r="N161" s="2" t="s">
        <v>171</v>
      </c>
      <c r="O161" s="2" t="s">
        <v>172</v>
      </c>
    </row>
    <row r="162" spans="1:15" x14ac:dyDescent="0.2">
      <c r="A162" s="25">
        <f t="shared" ref="A162:A188" si="5">IF(B162=B161,A161,A161+1)</f>
        <v>15</v>
      </c>
      <c r="B162" s="25" t="s">
        <v>168</v>
      </c>
      <c r="C162" s="25" t="s">
        <v>15</v>
      </c>
      <c r="D162" s="25" t="s">
        <v>25</v>
      </c>
      <c r="E162" s="2" t="s">
        <v>17</v>
      </c>
      <c r="F162" s="2">
        <v>16</v>
      </c>
      <c r="K162" s="2"/>
      <c r="L162" s="3">
        <v>62.4</v>
      </c>
      <c r="M162" s="3"/>
      <c r="N162" s="2" t="s">
        <v>171</v>
      </c>
      <c r="O162" s="2" t="s">
        <v>172</v>
      </c>
    </row>
    <row r="163" spans="1:15" x14ac:dyDescent="0.2">
      <c r="A163" s="25">
        <f t="shared" si="5"/>
        <v>15</v>
      </c>
      <c r="B163" s="25" t="s">
        <v>168</v>
      </c>
      <c r="C163" s="25" t="s">
        <v>15</v>
      </c>
      <c r="D163" s="25" t="s">
        <v>26</v>
      </c>
      <c r="K163" s="2"/>
      <c r="M163" s="3"/>
    </row>
    <row r="164" spans="1:15" x14ac:dyDescent="0.2">
      <c r="A164" s="25">
        <f t="shared" si="5"/>
        <v>15</v>
      </c>
      <c r="B164" s="25" t="s">
        <v>168</v>
      </c>
      <c r="C164" s="25" t="s">
        <v>15</v>
      </c>
      <c r="D164" s="25" t="s">
        <v>28</v>
      </c>
      <c r="E164" s="2" t="s">
        <v>54</v>
      </c>
      <c r="H164" s="2">
        <v>1.1000000000000001</v>
      </c>
      <c r="K164" s="2"/>
      <c r="L164" s="3">
        <v>170</v>
      </c>
      <c r="M164" s="3"/>
      <c r="N164" s="2" t="s">
        <v>173</v>
      </c>
      <c r="O164" s="27" t="s">
        <v>174</v>
      </c>
    </row>
    <row r="165" spans="1:15" x14ac:dyDescent="0.2">
      <c r="A165" s="25">
        <f t="shared" si="5"/>
        <v>15</v>
      </c>
      <c r="B165" s="25" t="s">
        <v>168</v>
      </c>
      <c r="C165" s="25" t="s">
        <v>15</v>
      </c>
      <c r="D165" s="25" t="s">
        <v>29</v>
      </c>
      <c r="I165" s="2">
        <v>12</v>
      </c>
      <c r="K165" s="2"/>
      <c r="M165" s="3">
        <v>6000</v>
      </c>
      <c r="N165" s="2" t="s">
        <v>175</v>
      </c>
      <c r="O165" s="2" t="s">
        <v>176</v>
      </c>
    </row>
    <row r="166" spans="1:15" x14ac:dyDescent="0.2">
      <c r="A166" s="25">
        <f t="shared" si="5"/>
        <v>15</v>
      </c>
      <c r="B166" s="25" t="s">
        <v>168</v>
      </c>
      <c r="C166" s="25" t="s">
        <v>15</v>
      </c>
      <c r="D166" s="25" t="s">
        <v>30</v>
      </c>
      <c r="K166" s="2"/>
      <c r="M166" s="3"/>
    </row>
    <row r="167" spans="1:15" x14ac:dyDescent="0.2">
      <c r="A167" s="25">
        <f t="shared" si="5"/>
        <v>15</v>
      </c>
      <c r="B167" s="25" t="s">
        <v>168</v>
      </c>
      <c r="C167" s="25" t="s">
        <v>15</v>
      </c>
      <c r="D167" s="25" t="s">
        <v>31</v>
      </c>
      <c r="I167" s="2">
        <v>3.3</v>
      </c>
      <c r="K167" s="2"/>
      <c r="M167" s="3">
        <v>3950</v>
      </c>
      <c r="N167" s="2" t="s">
        <v>209</v>
      </c>
      <c r="O167" s="27" t="s">
        <v>208</v>
      </c>
    </row>
    <row r="168" spans="1:15" s="12" customFormat="1" ht="16" thickBot="1" x14ac:dyDescent="0.25">
      <c r="A168" s="22">
        <f t="shared" si="5"/>
        <v>15</v>
      </c>
      <c r="B168" s="22" t="s">
        <v>168</v>
      </c>
      <c r="C168" s="22" t="s">
        <v>15</v>
      </c>
      <c r="D168" s="30" t="s">
        <v>32</v>
      </c>
      <c r="L168" s="13"/>
      <c r="M168" s="13"/>
    </row>
    <row r="169" spans="1:15" x14ac:dyDescent="0.2">
      <c r="A169" s="25">
        <f t="shared" si="5"/>
        <v>16</v>
      </c>
      <c r="B169" s="25" t="s">
        <v>182</v>
      </c>
      <c r="C169" s="25" t="s">
        <v>15</v>
      </c>
      <c r="D169" s="2" t="s">
        <v>34</v>
      </c>
      <c r="E169" s="2" t="s">
        <v>17</v>
      </c>
      <c r="F169" s="2">
        <v>20</v>
      </c>
      <c r="G169" s="2">
        <v>3.7999999999999999E-2</v>
      </c>
      <c r="K169" s="2"/>
      <c r="L169" s="3">
        <v>160</v>
      </c>
      <c r="M169" s="3"/>
      <c r="N169" t="s">
        <v>183</v>
      </c>
      <c r="O169" s="27" t="s">
        <v>184</v>
      </c>
    </row>
    <row r="170" spans="1:15" x14ac:dyDescent="0.2">
      <c r="A170" s="25">
        <f t="shared" si="5"/>
        <v>16</v>
      </c>
      <c r="B170" s="25" t="s">
        <v>182</v>
      </c>
      <c r="C170" s="25" t="s">
        <v>15</v>
      </c>
      <c r="D170" s="2" t="s">
        <v>20</v>
      </c>
      <c r="E170" s="2" t="s">
        <v>17</v>
      </c>
      <c r="F170" s="2">
        <v>20</v>
      </c>
      <c r="G170" s="2">
        <v>3.7999999999999999E-2</v>
      </c>
      <c r="K170" s="2"/>
      <c r="L170" s="3">
        <v>37.83</v>
      </c>
      <c r="M170" s="3"/>
      <c r="N170" t="s">
        <v>187</v>
      </c>
      <c r="O170" s="27" t="s">
        <v>188</v>
      </c>
    </row>
    <row r="171" spans="1:15" x14ac:dyDescent="0.2">
      <c r="A171" s="25">
        <f t="shared" si="5"/>
        <v>16</v>
      </c>
      <c r="B171" s="25" t="s">
        <v>182</v>
      </c>
      <c r="C171" s="25" t="s">
        <v>15</v>
      </c>
      <c r="D171" s="2" t="s">
        <v>21</v>
      </c>
      <c r="E171" s="2" t="s">
        <v>22</v>
      </c>
      <c r="F171" s="2">
        <v>20</v>
      </c>
      <c r="G171" s="2">
        <v>3.7999999999999999E-2</v>
      </c>
      <c r="K171" s="2"/>
      <c r="L171" s="3">
        <v>50</v>
      </c>
      <c r="M171" s="3"/>
      <c r="N171" s="2" t="s">
        <v>185</v>
      </c>
      <c r="O171" s="27" t="s">
        <v>186</v>
      </c>
    </row>
    <row r="172" spans="1:15" x14ac:dyDescent="0.2">
      <c r="A172" s="25">
        <f t="shared" si="5"/>
        <v>16</v>
      </c>
      <c r="B172" s="25" t="s">
        <v>182</v>
      </c>
      <c r="C172" s="25" t="s">
        <v>15</v>
      </c>
      <c r="D172" s="2" t="s">
        <v>25</v>
      </c>
      <c r="E172" s="2" t="s">
        <v>17</v>
      </c>
      <c r="F172" s="2">
        <v>20</v>
      </c>
      <c r="G172" s="2">
        <v>3.7999999999999999E-2</v>
      </c>
      <c r="K172" s="2"/>
      <c r="L172" s="3">
        <v>120</v>
      </c>
      <c r="M172" s="3"/>
      <c r="N172" s="2" t="s">
        <v>185</v>
      </c>
      <c r="O172" s="27" t="s">
        <v>186</v>
      </c>
    </row>
    <row r="173" spans="1:15" x14ac:dyDescent="0.2">
      <c r="A173" s="25">
        <f t="shared" si="5"/>
        <v>16</v>
      </c>
      <c r="B173" s="25" t="s">
        <v>182</v>
      </c>
      <c r="C173" s="25" t="s">
        <v>15</v>
      </c>
      <c r="D173" s="2" t="s">
        <v>26</v>
      </c>
      <c r="E173" s="2" t="s">
        <v>17</v>
      </c>
      <c r="F173" s="2">
        <v>15</v>
      </c>
      <c r="G173" s="2">
        <v>3.7999999999999999E-2</v>
      </c>
      <c r="K173" s="2"/>
      <c r="M173" s="3"/>
      <c r="N173" s="2" t="s">
        <v>189</v>
      </c>
      <c r="O173" s="27" t="s">
        <v>190</v>
      </c>
    </row>
    <row r="174" spans="1:15" x14ac:dyDescent="0.2">
      <c r="A174" s="25">
        <f t="shared" si="5"/>
        <v>16</v>
      </c>
      <c r="B174" s="25" t="s">
        <v>182</v>
      </c>
      <c r="C174" s="25" t="s">
        <v>15</v>
      </c>
      <c r="D174" s="2" t="s">
        <v>28</v>
      </c>
      <c r="E174" s="2" t="s">
        <v>54</v>
      </c>
      <c r="H174" s="2">
        <v>1.2</v>
      </c>
      <c r="K174" s="2"/>
      <c r="L174" s="3">
        <v>450</v>
      </c>
      <c r="M174" s="3"/>
    </row>
    <row r="175" spans="1:15" x14ac:dyDescent="0.2">
      <c r="A175" s="25">
        <f t="shared" si="5"/>
        <v>16</v>
      </c>
      <c r="B175" s="25" t="s">
        <v>182</v>
      </c>
      <c r="C175" s="25" t="s">
        <v>15</v>
      </c>
      <c r="D175" s="2" t="s">
        <v>29</v>
      </c>
      <c r="I175" s="2">
        <v>9</v>
      </c>
      <c r="K175" s="2"/>
      <c r="M175" s="3">
        <v>11000</v>
      </c>
      <c r="N175" s="2" t="s">
        <v>192</v>
      </c>
      <c r="O175" s="27" t="s">
        <v>191</v>
      </c>
    </row>
    <row r="176" spans="1:15" x14ac:dyDescent="0.2">
      <c r="A176" s="25">
        <f t="shared" si="5"/>
        <v>16</v>
      </c>
      <c r="B176" s="25" t="s">
        <v>182</v>
      </c>
      <c r="C176" s="25" t="s">
        <v>15</v>
      </c>
      <c r="D176" s="10" t="s">
        <v>30</v>
      </c>
      <c r="I176" s="10"/>
      <c r="K176" s="2"/>
      <c r="M176" s="3">
        <v>5000</v>
      </c>
      <c r="N176" s="2" t="s">
        <v>193</v>
      </c>
      <c r="O176" s="27" t="s">
        <v>194</v>
      </c>
    </row>
    <row r="177" spans="1:18" x14ac:dyDescent="0.2">
      <c r="A177" s="25">
        <f t="shared" si="5"/>
        <v>16</v>
      </c>
      <c r="B177" s="25" t="s">
        <v>182</v>
      </c>
      <c r="C177" s="25" t="s">
        <v>15</v>
      </c>
      <c r="D177" s="2" t="s">
        <v>31</v>
      </c>
      <c r="I177" s="2">
        <v>1</v>
      </c>
      <c r="K177" s="2"/>
      <c r="M177" s="3">
        <v>2000</v>
      </c>
      <c r="N177" s="2" t="s">
        <v>197</v>
      </c>
      <c r="O177" s="27" t="s">
        <v>198</v>
      </c>
    </row>
    <row r="178" spans="1:18" ht="16" thickBot="1" x14ac:dyDescent="0.25">
      <c r="A178" s="42">
        <f t="shared" si="5"/>
        <v>16</v>
      </c>
      <c r="B178" s="42" t="s">
        <v>182</v>
      </c>
      <c r="C178" s="42" t="s">
        <v>15</v>
      </c>
      <c r="D178" s="42" t="s">
        <v>32</v>
      </c>
      <c r="E178" s="42"/>
      <c r="F178" s="42"/>
      <c r="G178" s="42"/>
      <c r="H178" s="42"/>
      <c r="I178" s="42"/>
      <c r="J178" s="42"/>
      <c r="K178" s="42">
        <v>200</v>
      </c>
      <c r="L178" s="42"/>
      <c r="M178" s="8">
        <v>3500</v>
      </c>
      <c r="N178" s="42" t="s">
        <v>199</v>
      </c>
      <c r="O178" s="42" t="s">
        <v>200</v>
      </c>
    </row>
    <row r="179" spans="1:18" s="5" customFormat="1" x14ac:dyDescent="0.2">
      <c r="A179" s="23">
        <f t="shared" si="5"/>
        <v>17</v>
      </c>
      <c r="B179" s="21" t="s">
        <v>210</v>
      </c>
      <c r="C179" s="21" t="s">
        <v>15</v>
      </c>
      <c r="D179" s="21" t="s">
        <v>34</v>
      </c>
      <c r="E179" s="5" t="s">
        <v>17</v>
      </c>
      <c r="F179" s="5">
        <v>10</v>
      </c>
      <c r="G179" s="5">
        <v>3.3000000000000002E-2</v>
      </c>
      <c r="L179" s="6">
        <f>151.44+4.39*Table1[[#This Row],[Thickness '[cm']]]</f>
        <v>195.34</v>
      </c>
      <c r="M179" s="6"/>
      <c r="N179" s="5" t="s">
        <v>211</v>
      </c>
      <c r="O179" s="44" t="s">
        <v>212</v>
      </c>
      <c r="Q179" s="5" t="s">
        <v>213</v>
      </c>
      <c r="R179" s="5" t="s">
        <v>214</v>
      </c>
    </row>
    <row r="180" spans="1:18" s="42" customFormat="1" x14ac:dyDescent="0.2">
      <c r="A180" s="24">
        <f t="shared" si="5"/>
        <v>17</v>
      </c>
      <c r="B180" s="41" t="s">
        <v>210</v>
      </c>
      <c r="C180" s="41" t="s">
        <v>15</v>
      </c>
      <c r="D180" s="41" t="s">
        <v>20</v>
      </c>
      <c r="E180" s="42" t="s">
        <v>17</v>
      </c>
      <c r="F180" s="42">
        <v>2</v>
      </c>
      <c r="G180" s="42">
        <v>3.3000000000000002E-2</v>
      </c>
      <c r="L180" s="8">
        <f>4.39*Table1[[#This Row],[Thickness '[cm']]]</f>
        <v>8.7799999999999994</v>
      </c>
      <c r="M180" s="8"/>
      <c r="N180" s="42" t="s">
        <v>211</v>
      </c>
      <c r="O180" s="45" t="s">
        <v>212</v>
      </c>
    </row>
    <row r="181" spans="1:18" s="42" customFormat="1" x14ac:dyDescent="0.2">
      <c r="A181" s="24">
        <f t="shared" si="5"/>
        <v>17</v>
      </c>
      <c r="B181" s="41" t="s">
        <v>210</v>
      </c>
      <c r="C181" s="41" t="s">
        <v>15</v>
      </c>
      <c r="D181" s="41" t="s">
        <v>21</v>
      </c>
      <c r="E181" s="42" t="s">
        <v>17</v>
      </c>
      <c r="F181" s="42">
        <v>16</v>
      </c>
      <c r="G181" s="42">
        <v>3.3000000000000002E-2</v>
      </c>
      <c r="L181" s="8">
        <f>46.72+2.97*Table1[[#This Row],[Thickness '[cm']]]</f>
        <v>94.240000000000009</v>
      </c>
      <c r="M181" s="8"/>
      <c r="N181" s="42" t="s">
        <v>211</v>
      </c>
      <c r="O181" s="45" t="s">
        <v>212</v>
      </c>
      <c r="Q181" s="42" t="s">
        <v>213</v>
      </c>
      <c r="R181" s="42" t="s">
        <v>215</v>
      </c>
    </row>
    <row r="182" spans="1:18" s="42" customFormat="1" x14ac:dyDescent="0.2">
      <c r="A182" s="24">
        <f t="shared" si="5"/>
        <v>17</v>
      </c>
      <c r="B182" s="41" t="s">
        <v>210</v>
      </c>
      <c r="C182" s="41" t="s">
        <v>15</v>
      </c>
      <c r="D182" s="41" t="s">
        <v>25</v>
      </c>
      <c r="E182" s="42" t="s">
        <v>17</v>
      </c>
      <c r="F182" s="42">
        <v>16</v>
      </c>
      <c r="G182" s="42">
        <v>3.3000000000000002E-2</v>
      </c>
      <c r="L182" s="8">
        <f>260.53+4.78*Table1[[#This Row],[Thickness '[cm']]]</f>
        <v>337.01</v>
      </c>
      <c r="M182" s="8"/>
      <c r="N182" s="42" t="s">
        <v>211</v>
      </c>
      <c r="O182" s="45" t="s">
        <v>212</v>
      </c>
    </row>
    <row r="183" spans="1:18" s="42" customFormat="1" x14ac:dyDescent="0.2">
      <c r="A183" s="24">
        <f t="shared" si="5"/>
        <v>17</v>
      </c>
      <c r="B183" s="41" t="s">
        <v>210</v>
      </c>
      <c r="C183" s="41" t="s">
        <v>15</v>
      </c>
      <c r="D183" s="41" t="s">
        <v>26</v>
      </c>
      <c r="E183" s="42" t="s">
        <v>65</v>
      </c>
      <c r="F183" s="42">
        <v>10</v>
      </c>
      <c r="G183" s="42">
        <v>3.4000000000000002E-2</v>
      </c>
      <c r="L183" s="8">
        <f>86.84+2.48*Table1[[#This Row],[Thickness '[cm']]]</f>
        <v>111.64</v>
      </c>
      <c r="M183" s="8"/>
      <c r="N183" s="42" t="s">
        <v>211</v>
      </c>
      <c r="O183" s="45" t="s">
        <v>212</v>
      </c>
      <c r="Q183" s="42" t="s">
        <v>213</v>
      </c>
      <c r="R183" s="42" t="s">
        <v>216</v>
      </c>
    </row>
    <row r="184" spans="1:18" s="42" customFormat="1" x14ac:dyDescent="0.2">
      <c r="A184" s="24">
        <f t="shared" si="5"/>
        <v>17</v>
      </c>
      <c r="B184" s="41" t="s">
        <v>210</v>
      </c>
      <c r="C184" s="41" t="s">
        <v>15</v>
      </c>
      <c r="D184" s="41" t="s">
        <v>28</v>
      </c>
      <c r="H184" s="42">
        <v>0.95</v>
      </c>
      <c r="L184" s="8">
        <v>598.75</v>
      </c>
      <c r="M184" s="8"/>
      <c r="N184" s="42" t="s">
        <v>211</v>
      </c>
      <c r="O184" s="45" t="s">
        <v>212</v>
      </c>
    </row>
    <row r="185" spans="1:18" s="42" customFormat="1" x14ac:dyDescent="0.2">
      <c r="A185" s="24">
        <f t="shared" si="5"/>
        <v>17</v>
      </c>
      <c r="B185" s="41" t="s">
        <v>210</v>
      </c>
      <c r="C185" s="41" t="s">
        <v>15</v>
      </c>
      <c r="D185" s="41" t="s">
        <v>29</v>
      </c>
      <c r="I185" s="42">
        <v>20</v>
      </c>
      <c r="L185" s="8"/>
      <c r="M185" s="8">
        <f>1717*Table1[[#This Row],[Power '[kW']]]</f>
        <v>34340</v>
      </c>
      <c r="N185" s="42" t="s">
        <v>217</v>
      </c>
      <c r="O185" s="45" t="s">
        <v>218</v>
      </c>
    </row>
    <row r="186" spans="1:18" s="42" customFormat="1" x14ac:dyDescent="0.2">
      <c r="A186" s="24">
        <f t="shared" si="5"/>
        <v>17</v>
      </c>
      <c r="B186" s="41" t="s">
        <v>210</v>
      </c>
      <c r="C186" s="41" t="s">
        <v>15</v>
      </c>
      <c r="D186" s="41" t="s">
        <v>30</v>
      </c>
      <c r="I186" s="42">
        <v>20</v>
      </c>
      <c r="L186" s="8"/>
      <c r="M186" s="8">
        <f>354*Table1[[#This Row],[Power '[kW']]]</f>
        <v>7080</v>
      </c>
      <c r="N186" s="42" t="s">
        <v>217</v>
      </c>
      <c r="O186" s="45" t="s">
        <v>218</v>
      </c>
    </row>
    <row r="187" spans="1:18" s="42" customFormat="1" x14ac:dyDescent="0.2">
      <c r="A187" s="24">
        <f t="shared" si="5"/>
        <v>17</v>
      </c>
      <c r="B187" s="41" t="s">
        <v>210</v>
      </c>
      <c r="C187" s="41" t="s">
        <v>15</v>
      </c>
      <c r="D187" s="41" t="s">
        <v>31</v>
      </c>
      <c r="L187" s="8"/>
      <c r="M187" s="8"/>
      <c r="O187" s="18"/>
    </row>
    <row r="188" spans="1:18" s="12" customFormat="1" ht="16" thickBot="1" x14ac:dyDescent="0.25">
      <c r="A188" s="26">
        <f t="shared" si="5"/>
        <v>17</v>
      </c>
      <c r="B188" s="22" t="s">
        <v>210</v>
      </c>
      <c r="C188" s="22" t="s">
        <v>15</v>
      </c>
      <c r="D188" s="12" t="s">
        <v>32</v>
      </c>
      <c r="I188" s="12">
        <v>10</v>
      </c>
      <c r="J188" s="12">
        <v>17.8</v>
      </c>
      <c r="K188" s="12">
        <v>500</v>
      </c>
      <c r="L188" s="13"/>
      <c r="M188" s="13">
        <f>904*Table1[[#This Row],[Power '[kW']]]+Table1[[#This Row],[Capacity '[l']]]*2</f>
        <v>10040</v>
      </c>
      <c r="N188" s="12" t="s">
        <v>217</v>
      </c>
      <c r="O188" s="46" t="s">
        <v>218</v>
      </c>
    </row>
    <row r="189" spans="1:18" x14ac:dyDescent="0.2">
      <c r="A189" s="38">
        <f>IF(B189=B188,A188,A188+1)</f>
        <v>18</v>
      </c>
      <c r="B189" s="25" t="s">
        <v>220</v>
      </c>
      <c r="C189" s="25" t="s">
        <v>15</v>
      </c>
      <c r="D189" s="25" t="s">
        <v>34</v>
      </c>
      <c r="E189" s="2" t="s">
        <v>27</v>
      </c>
      <c r="L189" s="3">
        <v>100</v>
      </c>
      <c r="M189" s="39"/>
      <c r="N189" s="2" t="s">
        <v>221</v>
      </c>
      <c r="O189" s="27" t="s">
        <v>222</v>
      </c>
    </row>
    <row r="190" spans="1:18" x14ac:dyDescent="0.2">
      <c r="A190" s="38">
        <f>IF(B190=B189,A189,A189+1)</f>
        <v>18</v>
      </c>
      <c r="B190" s="25" t="s">
        <v>220</v>
      </c>
      <c r="C190" s="25" t="s">
        <v>15</v>
      </c>
      <c r="D190" s="25" t="s">
        <v>20</v>
      </c>
      <c r="M190" s="3"/>
    </row>
    <row r="191" spans="1:18" x14ac:dyDescent="0.2">
      <c r="A191" s="38">
        <f>IF(B191=B190,A190,A190+1)</f>
        <v>18</v>
      </c>
      <c r="B191" s="25" t="s">
        <v>220</v>
      </c>
      <c r="C191" s="25" t="s">
        <v>15</v>
      </c>
      <c r="D191" s="25" t="s">
        <v>21</v>
      </c>
      <c r="E191" s="2" t="s">
        <v>22</v>
      </c>
      <c r="L191" s="3">
        <v>35</v>
      </c>
      <c r="M191" s="3"/>
      <c r="N191" t="s">
        <v>224</v>
      </c>
      <c r="O191" s="27" t="s">
        <v>223</v>
      </c>
    </row>
    <row r="192" spans="1:18" x14ac:dyDescent="0.2">
      <c r="A192" s="38">
        <f t="shared" ref="A192:A198" si="6">IF(B192=B191,A191,A191+1)</f>
        <v>18</v>
      </c>
      <c r="B192" s="25" t="s">
        <v>220</v>
      </c>
      <c r="C192" s="25" t="s">
        <v>15</v>
      </c>
      <c r="D192" s="25" t="s">
        <v>25</v>
      </c>
      <c r="E192" s="2" t="s">
        <v>17</v>
      </c>
      <c r="L192" s="3">
        <v>80</v>
      </c>
      <c r="M192" s="3"/>
      <c r="N192" t="s">
        <v>224</v>
      </c>
      <c r="O192" s="27" t="s">
        <v>223</v>
      </c>
    </row>
    <row r="193" spans="1:15" x14ac:dyDescent="0.2">
      <c r="A193" s="38">
        <f t="shared" si="6"/>
        <v>18</v>
      </c>
      <c r="B193" s="25" t="s">
        <v>220</v>
      </c>
      <c r="C193" s="25" t="s">
        <v>15</v>
      </c>
      <c r="D193" s="25" t="s">
        <v>26</v>
      </c>
      <c r="E193" s="2" t="s">
        <v>17</v>
      </c>
      <c r="L193" s="3">
        <v>50</v>
      </c>
      <c r="M193" s="3"/>
      <c r="N193" t="s">
        <v>224</v>
      </c>
      <c r="O193" s="27" t="s">
        <v>223</v>
      </c>
    </row>
    <row r="194" spans="1:15" x14ac:dyDescent="0.2">
      <c r="A194" s="38">
        <f t="shared" si="6"/>
        <v>18</v>
      </c>
      <c r="B194" s="25" t="s">
        <v>220</v>
      </c>
      <c r="C194" s="25" t="s">
        <v>15</v>
      </c>
      <c r="D194" s="25" t="s">
        <v>28</v>
      </c>
      <c r="H194" s="2">
        <v>1.3</v>
      </c>
      <c r="L194" s="3">
        <v>490</v>
      </c>
      <c r="M194" s="3"/>
      <c r="N194" s="2" t="s">
        <v>225</v>
      </c>
      <c r="O194" s="27" t="s">
        <v>226</v>
      </c>
    </row>
    <row r="195" spans="1:15" x14ac:dyDescent="0.2">
      <c r="A195" s="38">
        <f t="shared" si="6"/>
        <v>18</v>
      </c>
      <c r="B195" s="25" t="s">
        <v>220</v>
      </c>
      <c r="C195" s="25" t="s">
        <v>15</v>
      </c>
      <c r="D195" s="25" t="s">
        <v>29</v>
      </c>
      <c r="I195" s="2">
        <v>3</v>
      </c>
      <c r="M195" s="3">
        <v>12000</v>
      </c>
      <c r="N195" s="2" t="s">
        <v>228</v>
      </c>
      <c r="O195" s="27" t="s">
        <v>227</v>
      </c>
    </row>
    <row r="196" spans="1:15" x14ac:dyDescent="0.2">
      <c r="A196" s="38">
        <f t="shared" si="6"/>
        <v>18</v>
      </c>
      <c r="B196" s="25" t="s">
        <v>220</v>
      </c>
      <c r="C196" s="25" t="s">
        <v>15</v>
      </c>
      <c r="D196" s="25" t="s">
        <v>30</v>
      </c>
      <c r="I196" s="2">
        <v>24</v>
      </c>
      <c r="M196" s="3">
        <v>2950</v>
      </c>
      <c r="N196" s="2" t="s">
        <v>230</v>
      </c>
      <c r="O196" s="27" t="s">
        <v>229</v>
      </c>
    </row>
    <row r="197" spans="1:15" x14ac:dyDescent="0.2">
      <c r="A197" s="38">
        <f t="shared" si="6"/>
        <v>18</v>
      </c>
      <c r="B197" s="25" t="s">
        <v>220</v>
      </c>
      <c r="C197" s="25" t="s">
        <v>15</v>
      </c>
      <c r="D197" s="25" t="s">
        <v>31</v>
      </c>
      <c r="I197" s="2">
        <v>1</v>
      </c>
      <c r="M197" s="3">
        <v>1253</v>
      </c>
      <c r="N197" s="2" t="s">
        <v>231</v>
      </c>
      <c r="O197" s="27" t="s">
        <v>232</v>
      </c>
    </row>
    <row r="198" spans="1:15" ht="16" thickBot="1" x14ac:dyDescent="0.25">
      <c r="A198" s="40">
        <f t="shared" si="6"/>
        <v>18</v>
      </c>
      <c r="B198" s="25" t="s">
        <v>220</v>
      </c>
      <c r="C198" s="41" t="s">
        <v>15</v>
      </c>
      <c r="D198" s="42" t="s">
        <v>32</v>
      </c>
      <c r="E198" s="42"/>
      <c r="F198" s="42"/>
      <c r="G198" s="42"/>
      <c r="H198" s="42"/>
      <c r="I198" s="42"/>
      <c r="J198" s="42"/>
      <c r="K198" s="12">
        <v>100</v>
      </c>
      <c r="L198" s="8"/>
      <c r="M198" s="43">
        <v>1100</v>
      </c>
      <c r="N198" s="2" t="s">
        <v>233</v>
      </c>
      <c r="O198" s="27" t="s">
        <v>234</v>
      </c>
    </row>
  </sheetData>
  <phoneticPr fontId="1" type="noConversion"/>
  <hyperlinks>
    <hyperlink ref="O36" r:id="rId1" xr:uid="{A07636AD-C3F0-4D09-9D9C-32000DC6CB30}"/>
    <hyperlink ref="O37" r:id="rId2" xr:uid="{FA5AA7F6-0D01-47AD-99D9-38B6A1EF0AA6}"/>
    <hyperlink ref="O38" r:id="rId3" xr:uid="{27FE61AB-604E-4BC7-970E-9F92796EECBA}"/>
    <hyperlink ref="O47" r:id="rId4" xr:uid="{DFB921C9-E746-754F-B42F-41D73F0C95B4}"/>
    <hyperlink ref="O51" r:id="rId5" xr:uid="{CC5E5C34-7142-2046-BC13-95C998D89BDF}"/>
    <hyperlink ref="O52" r:id="rId6" xr:uid="{241534B3-B1D5-A34D-B6B1-4C8C00EF4CBC}"/>
    <hyperlink ref="O53" r:id="rId7" location="page=33.44" xr:uid="{DFCEC774-FE66-454E-891B-30689DDA3F15}"/>
    <hyperlink ref="O54" r:id="rId8" location="page=33.44" xr:uid="{BC4D554B-CDD8-D646-BA5E-8E73DBB6281C}"/>
    <hyperlink ref="O56" r:id="rId9" location="page=33.44" xr:uid="{63E48BD0-F0D0-434B-AB9F-174CD93DF42C}"/>
    <hyperlink ref="O49" r:id="rId10" xr:uid="{6E1B2D92-FA1F-F841-8D49-67A2874E0BF0}"/>
    <hyperlink ref="O57" r:id="rId11" xr:uid="{DCB85AD6-6343-8845-A806-738FA3272937}"/>
    <hyperlink ref="O59" r:id="rId12" xr:uid="{39B391DE-1DAE-DA4A-AA5D-5EEC261D7356}"/>
    <hyperlink ref="O63" r:id="rId13" xr:uid="{0BF405FE-B266-F541-9811-7FD9C33E48A1}"/>
    <hyperlink ref="O62" r:id="rId14" xr:uid="{587274C9-42C0-BA41-96FB-44FDCE3D21A5}"/>
    <hyperlink ref="O61" r:id="rId15" location="f1p2" xr:uid="{B5E4452E-60E3-2040-BD6B-A4EA678986ED}"/>
    <hyperlink ref="O64" r:id="rId16" xr:uid="{1D1051AB-FF4F-8045-AD0D-4D8F1FD66320}"/>
    <hyperlink ref="O65" r:id="rId17" xr:uid="{DF6E2F6B-10E0-EA4C-BFD2-92962CF3FEEA}"/>
    <hyperlink ref="O66" r:id="rId18" xr:uid="{4895FAAF-71A2-A248-AAEC-801043ADEA3C}"/>
    <hyperlink ref="O67" r:id="rId19" xr:uid="{4A9A09FA-BFF0-E14B-96CA-FB2CF5DEB153}"/>
    <hyperlink ref="O69" r:id="rId20" xr:uid="{27720618-B5A8-724D-A53F-FD1E0D1832B0}"/>
    <hyperlink ref="O70" r:id="rId21" xr:uid="{39E30E4D-3222-5844-90A1-96608DC6EFF4}"/>
    <hyperlink ref="O71" r:id="rId22" xr:uid="{7DA44500-CE49-F941-8618-4DE0AB427573}"/>
    <hyperlink ref="O72" r:id="rId23" xr:uid="{F149CF2D-38F2-7E40-A505-0CC91BA7FBA0}"/>
    <hyperlink ref="O74" r:id="rId24" xr:uid="{BC4825C2-218A-384D-BE72-92AF2867A4B7}"/>
    <hyperlink ref="O75" r:id="rId25" xr:uid="{550AB539-3D6D-7441-9494-677CF498B1C3}"/>
    <hyperlink ref="O77" r:id="rId26" xr:uid="{408F1389-393F-224F-B86E-5251DC2E3EFD}"/>
    <hyperlink ref="O79" r:id="rId27" xr:uid="{6BD4A65E-B9B2-4147-9629-0676FB543D5D}"/>
    <hyperlink ref="O78" r:id="rId28" xr:uid="{15906AD4-8C59-2847-BB2F-ADC601FC75D0}"/>
    <hyperlink ref="O80" r:id="rId29" xr:uid="{6A8B35B3-90B6-1D44-94E6-9339A5BF9D18}"/>
    <hyperlink ref="O81" r:id="rId30" xr:uid="{E006B4C8-8A2F-A647-8638-758B19752D6F}"/>
    <hyperlink ref="O82" r:id="rId31" xr:uid="{C9D20377-A309-5248-9C92-EB0930461F20}"/>
    <hyperlink ref="O83" r:id="rId32" xr:uid="{4B3806FB-E8D9-814A-9F05-8BE18A86C121}"/>
    <hyperlink ref="O86" r:id="rId33" xr:uid="{FD4B97FA-C407-0642-9693-67BEFEC85ECD}"/>
    <hyperlink ref="O87" r:id="rId34" xr:uid="{0694882E-630A-514C-8E75-06FF6A32557E}"/>
    <hyperlink ref="O88" r:id="rId35" xr:uid="{86BA4002-403D-E748-BBDB-F14FCF163E1E}"/>
    <hyperlink ref="O89" r:id="rId36" xr:uid="{E43A708A-7170-9145-8C6F-0E2A3A8BC47D}"/>
    <hyperlink ref="O90" r:id="rId37" xr:uid="{2E60B979-53EA-4D46-84AF-F593ABA413B4}"/>
    <hyperlink ref="O92" r:id="rId38" xr:uid="{60F73D96-6D1F-E84A-8F32-2442BE5FECB5}"/>
    <hyperlink ref="O93" r:id="rId39" xr:uid="{50A61D0C-A42D-D64A-8A6F-C3C454809102}"/>
    <hyperlink ref="O97" r:id="rId40" xr:uid="{75C40D54-35C4-7540-9916-74B363B273BA}"/>
    <hyperlink ref="O98" r:id="rId41" xr:uid="{91576E58-199E-E642-BB99-3B685061EF11}"/>
    <hyperlink ref="O99" r:id="rId42" xr:uid="{772E9A2E-8A26-CD41-ABB3-4EB05C3C526D}"/>
    <hyperlink ref="O101" r:id="rId43" location=":~:text=voor%20warm%20water.-,Wat%20kosten%20thermische%20zonnepanelen%3F,plaatsing%20en%20btw)" xr:uid="{70AE4E7F-F1A6-7E45-96D1-1494883FC9DB}"/>
    <hyperlink ref="O102" r:id="rId44" location="source=nces&amp;medium=coll " xr:uid="{218A5047-CEB0-0445-9B17-A973F1EE5D91}"/>
    <hyperlink ref="O104" r:id="rId45" xr:uid="{9668F37B-AA5E-8446-9FC9-7944F38AE434}"/>
    <hyperlink ref="O106" r:id="rId46" location="link5" xr:uid="{293D6BE3-8E94-E34B-9AE7-CD80645A6840}"/>
    <hyperlink ref="O107" r:id="rId47" xr:uid="{D53776DD-E9DD-C043-83A3-D2A58418CF23}"/>
    <hyperlink ref="O108" r:id="rId48" xr:uid="{70FA8373-304A-C34D-900E-629DFD1D1E5A}"/>
    <hyperlink ref="O109" r:id="rId49" xr:uid="{E6D3A93A-507E-BA46-819D-553EA9E4A78B}"/>
    <hyperlink ref="O110" r:id="rId50" xr:uid="{F10D5E3A-8473-3047-A223-6C4234BD9C5A}"/>
    <hyperlink ref="O111" r:id="rId51" xr:uid="{32EA6F3A-84CF-A84E-BA19-E9A43305EDE9}"/>
    <hyperlink ref="O112" r:id="rId52" xr:uid="{FD5941BA-E6AC-8145-A372-7B88022BA07E}"/>
    <hyperlink ref="O113" r:id="rId53" xr:uid="{66213C46-3B60-2141-AAEC-CADFCF92DB77}"/>
    <hyperlink ref="O114" r:id="rId54" xr:uid="{D71D0A57-EC4F-F348-973A-CF2CC4FD0C6F}"/>
    <hyperlink ref="O116" r:id="rId55" xr:uid="{41B80F96-C2EB-1C42-9464-A8C366A4DD19}"/>
    <hyperlink ref="O117" r:id="rId56" xr:uid="{DFA14548-3FED-EC4C-B94D-AFF3091551C3}"/>
    <hyperlink ref="O118" r:id="rId57" xr:uid="{34DB7CFF-D53D-6F4A-AD86-4A2EABBA60E1}"/>
    <hyperlink ref="O119" r:id="rId58" xr:uid="{CA802CEC-21EE-F24A-8FCE-8761BF6DACF6}"/>
    <hyperlink ref="O120" r:id="rId59" xr:uid="{11622B81-0275-6A4F-B549-F03E1DFD2FA1}"/>
    <hyperlink ref="O121" r:id="rId60" xr:uid="{29573333-AAFD-5245-B075-5E62F7AAD742}"/>
    <hyperlink ref="O95" r:id="rId61" xr:uid="{E74105A7-399D-D24F-B5E6-138A202CF606}"/>
    <hyperlink ref="O96" r:id="rId62" xr:uid="{AB9E6346-5D5A-9D44-B450-3A4B4F04B779}"/>
    <hyperlink ref="O84" r:id="rId63" xr:uid="{B3DDA0CB-2520-FD48-B202-3DEF5F5AFD48}"/>
    <hyperlink ref="O85" r:id="rId64" xr:uid="{6007C015-6B99-9B42-AC4B-EF138F8BDDA0}"/>
    <hyperlink ref="O122" r:id="rId65" xr:uid="{B33142ED-A466-B340-98FB-07CCD06CC59D}"/>
    <hyperlink ref="O123" r:id="rId66" xr:uid="{D146448F-1BC6-D142-A334-2CB54C2CD9D8}"/>
    <hyperlink ref="O124" r:id="rId67" xr:uid="{034E7CBC-B21D-9F43-B936-B4D821762E97}"/>
    <hyperlink ref="O125" r:id="rId68" xr:uid="{F38A6856-07C3-FB43-B38C-488EFD9C16B5}"/>
    <hyperlink ref="O126" r:id="rId69" xr:uid="{F56A4E52-FFCD-FC4E-A0A7-E57D8944495A}"/>
    <hyperlink ref="O129" r:id="rId70" xr:uid="{6E6C0D30-E9E5-DE4A-8390-217546FF10F8}"/>
    <hyperlink ref="O130" r:id="rId71" xr:uid="{7A47AC1C-15D0-184D-9111-CC872E281024}"/>
    <hyperlink ref="O131" r:id="rId72" xr:uid="{645B17C9-85DC-BA43-855E-730214E3791B}"/>
    <hyperlink ref="O128" r:id="rId73" xr:uid="{AEA936A9-71ED-4849-A212-4EE43AC7F356}"/>
    <hyperlink ref="O127" r:id="rId74" xr:uid="{48F5EF7D-65C6-AC4B-AF82-3E56909DC69D}"/>
    <hyperlink ref="O132" r:id="rId75" xr:uid="{E002145F-8E15-0A48-BD2D-ADDA7C9204F8}"/>
    <hyperlink ref="O133" r:id="rId76" xr:uid="{6B2E73EB-99C7-3045-8E76-35442FCDC711}"/>
    <hyperlink ref="O134" r:id="rId77" xr:uid="{AE1D1100-9970-9B46-9FFD-0EA6B3818925}"/>
    <hyperlink ref="O135" r:id="rId78" xr:uid="{36447783-9C00-9041-84CA-E4D8563527FE}"/>
    <hyperlink ref="O136" r:id="rId79" xr:uid="{1A408AC6-70A4-024A-96F9-7D4834B6A38B}"/>
    <hyperlink ref="O137" r:id="rId80" xr:uid="{9F2AFEFA-AC8F-8A47-9141-FFBCDB79C109}"/>
    <hyperlink ref="O138" r:id="rId81" xr:uid="{7A62138B-B7E8-8041-95F3-F247C1DE1A05}"/>
    <hyperlink ref="O4" r:id="rId82" xr:uid="{0D81E4EA-958A-3247-82C7-0E5CE5E59AF6}"/>
    <hyperlink ref="O139" r:id="rId83" xr:uid="{4EB3A570-404F-E246-A59A-DBE8747D3378}"/>
    <hyperlink ref="O140" r:id="rId84" xr:uid="{D8C75D9D-7E27-B64C-BA31-BFCABE139AD5}"/>
    <hyperlink ref="O143" r:id="rId85" xr:uid="{990F77BB-3930-CD49-AFB5-6088E87B6F11}"/>
    <hyperlink ref="O141" r:id="rId86" xr:uid="{FDDC06E4-FE27-6D4F-A705-DA859CE74EB2}"/>
    <hyperlink ref="O152" r:id="rId87" xr:uid="{78E4DA38-8300-4B4E-9D15-28C57D6ED969}"/>
    <hyperlink ref="O153" r:id="rId88" location="kuinka-paljon-mokin-lattian-eristaminen-maksaa" xr:uid="{768590C2-1C49-DE43-8728-6101BB75F7BE}"/>
    <hyperlink ref="O154" r:id="rId89" xr:uid="{E0BBD35E-AE6D-AD42-AAE7-2F0CA94A20DD}"/>
    <hyperlink ref="O155" r:id="rId90" xr:uid="{178D7621-ED1E-F346-B478-3975704718EC}"/>
    <hyperlink ref="O157" r:id="rId91" xr:uid="{BF13A582-A062-BF4B-9780-A244590B09E1}"/>
    <hyperlink ref="O158" r:id="rId92" xr:uid="{85CF436D-577D-E642-8CD9-35B078B5330E}"/>
    <hyperlink ref="O159" r:id="rId93" xr:uid="{4DE6201A-C9B2-41CC-9000-F95F3643DD68}"/>
    <hyperlink ref="O160" r:id="rId94" xr:uid="{7AD42ADA-AF31-42BB-842A-5AAAE7B8EFEC}"/>
    <hyperlink ref="O164" r:id="rId95" xr:uid="{E60723A4-E33D-4CDD-8DFA-2EC5917A2116}"/>
    <hyperlink ref="O45" r:id="rId96" xr:uid="{7A6AFC61-5A73-2246-9734-E8DA4C427ADE}"/>
    <hyperlink ref="O46" r:id="rId97" xr:uid="{C0A9B538-572F-9648-8A65-6C6A8245262C}"/>
    <hyperlink ref="O171" r:id="rId98" xr:uid="{94785757-4152-EF40-BF5B-7994B78DA7E9}"/>
    <hyperlink ref="O169" r:id="rId99" xr:uid="{6BD09F58-2FBA-564F-8D51-372880DD054B}"/>
    <hyperlink ref="O170" r:id="rId100" xr:uid="{A5D34CEB-4ED3-3A46-B294-789642D4931B}"/>
    <hyperlink ref="O172" r:id="rId101" xr:uid="{E98F359E-5F85-4640-B08F-6208CE883764}"/>
    <hyperlink ref="O173" r:id="rId102" xr:uid="{63D03372-1545-2044-8153-5AB8C56D904F}"/>
    <hyperlink ref="O175" r:id="rId103" xr:uid="{91FDBB6B-63F3-9042-B64C-D90E846BBEB4}"/>
    <hyperlink ref="O176" r:id="rId104" xr:uid="{20B650A7-D9A7-AD49-AF4A-4DE8D4D5E994}"/>
    <hyperlink ref="O149" r:id="rId105" xr:uid="{3B3240D1-569D-904D-BB0D-3977DAAD88D9}"/>
    <hyperlink ref="O177" r:id="rId106" xr:uid="{3E6D6977-FDE8-1B42-BE87-88B4A5B4ACEB}"/>
    <hyperlink ref="O178" r:id="rId107" xr:uid="{EF9CF442-843D-2F4A-AD2E-2764E31D00CC}"/>
    <hyperlink ref="O10" r:id="rId108" display="https://www.daibau.bg/ceni/slanchevi_elektrotsentrali" xr:uid="{A2B74172-724B-094C-A54D-C094F93F2F93}"/>
    <hyperlink ref="O35" r:id="rId109" xr:uid="{3255B0E0-0A5F-7F47-BCEA-3733D6E1B524}"/>
    <hyperlink ref="O100" r:id="rId110" xr:uid="{68D073D8-73BE-D140-8652-86A94A302CB4}"/>
    <hyperlink ref="O167" r:id="rId111" xr:uid="{A6BB49D4-CB14-A943-9A0A-4A8AC96E7447}"/>
    <hyperlink ref="O179" r:id="rId112" xr:uid="{2ED20C59-3377-4C9C-B9E9-649A7B942CF0}"/>
    <hyperlink ref="O180" r:id="rId113" xr:uid="{32003587-3572-41DB-9A88-70317D6272D8}"/>
    <hyperlink ref="O181" r:id="rId114" xr:uid="{2D69A3F9-C867-49AF-9FB6-61CAB47E8B02}"/>
    <hyperlink ref="O182" r:id="rId115" xr:uid="{818A1131-3581-43EC-B09B-9C9EC969F4D9}"/>
    <hyperlink ref="O183" r:id="rId116" xr:uid="{1740FB64-4041-4C0B-AFDC-0EB25E3B964F}"/>
    <hyperlink ref="O184" r:id="rId117" xr:uid="{29B5D2AE-3B48-4E78-A962-E2A74D4B0CA2}"/>
    <hyperlink ref="O185" r:id="rId118" xr:uid="{ED9347A3-B81E-4C6C-96C7-33C192F05427}"/>
    <hyperlink ref="O186" r:id="rId119" xr:uid="{A83DC9FD-341F-4C90-8C0F-B4AF30FF43DC}"/>
    <hyperlink ref="O188" r:id="rId120" xr:uid="{654480F3-F2F7-4E18-ADEE-6CF0E4F0455E}"/>
    <hyperlink ref="O189" r:id="rId121" xr:uid="{EA80D2F3-F274-1541-AA65-27791DF8AE7F}"/>
    <hyperlink ref="O191" r:id="rId122" xr:uid="{4543734C-736D-2340-A634-DCEC6404C9CB}"/>
    <hyperlink ref="O192" r:id="rId123" xr:uid="{50CD7128-F81D-0B48-9B66-E72B0BDFD0E8}"/>
    <hyperlink ref="O193" r:id="rId124" xr:uid="{8AE59DC0-8A5A-9642-AE3C-9480F49CF7B9}"/>
    <hyperlink ref="O194" r:id="rId125" location=":~:text=Table_title:%20How%20much%20do%20replacement%20windows%20cost?,per%20window:%20Average%20cost%20per%20window%20%7C" xr:uid="{16079DB6-C092-DB47-ABFA-96D00DD22145}"/>
    <hyperlink ref="O195" r:id="rId126" xr:uid="{97D3C6C9-99C5-244E-A6B7-FEB1A55ACB88}"/>
    <hyperlink ref="O196" r:id="rId127" xr:uid="{567127DD-BCAE-324F-A763-D882CCF84F82}"/>
    <hyperlink ref="O197" r:id="rId128" xr:uid="{8CE4DB25-AECD-554F-A5EC-BAA809C59B8C}"/>
    <hyperlink ref="O198" r:id="rId129" xr:uid="{B9F699A6-9DD1-DC48-A272-60C59710F5F3}"/>
  </hyperlinks>
  <pageMargins left="0.7" right="0.7" top="0.75" bottom="0.75" header="0.3" footer="0.3"/>
  <legacyDrawing r:id="rId130"/>
  <tableParts count="1">
    <tablePart r:id="rId1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9B5D-A824-4B7F-9E48-C5BE7CA5C719}">
  <dimension ref="A4:B13"/>
  <sheetViews>
    <sheetView workbookViewId="0">
      <selection activeCell="B4" sqref="B4"/>
    </sheetView>
  </sheetViews>
  <sheetFormatPr baseColWidth="10" defaultColWidth="8.6640625" defaultRowHeight="15" x14ac:dyDescent="0.2"/>
  <cols>
    <col min="2" max="2" width="26" bestFit="1" customWidth="1"/>
  </cols>
  <sheetData>
    <row r="4" spans="1:2" x14ac:dyDescent="0.2">
      <c r="A4">
        <v>1</v>
      </c>
      <c r="B4" s="2" t="s">
        <v>34</v>
      </c>
    </row>
    <row r="5" spans="1:2" x14ac:dyDescent="0.2">
      <c r="A5">
        <v>2</v>
      </c>
      <c r="B5" s="2" t="s">
        <v>20</v>
      </c>
    </row>
    <row r="6" spans="1:2" x14ac:dyDescent="0.2">
      <c r="A6">
        <v>3</v>
      </c>
      <c r="B6" s="2" t="s">
        <v>21</v>
      </c>
    </row>
    <row r="7" spans="1:2" x14ac:dyDescent="0.2">
      <c r="A7">
        <v>4</v>
      </c>
      <c r="B7" s="2" t="s">
        <v>25</v>
      </c>
    </row>
    <row r="8" spans="1:2" x14ac:dyDescent="0.2">
      <c r="A8">
        <v>5</v>
      </c>
      <c r="B8" s="2" t="s">
        <v>26</v>
      </c>
    </row>
    <row r="9" spans="1:2" x14ac:dyDescent="0.2">
      <c r="A9">
        <v>6</v>
      </c>
      <c r="B9" s="2" t="s">
        <v>28</v>
      </c>
    </row>
    <row r="10" spans="1:2" x14ac:dyDescent="0.2">
      <c r="A10">
        <v>7</v>
      </c>
      <c r="B10" s="2" t="s">
        <v>29</v>
      </c>
    </row>
    <row r="11" spans="1:2" x14ac:dyDescent="0.2">
      <c r="A11">
        <v>8</v>
      </c>
      <c r="B11" s="2" t="s">
        <v>30</v>
      </c>
    </row>
    <row r="12" spans="1:2" x14ac:dyDescent="0.2">
      <c r="A12">
        <v>9</v>
      </c>
      <c r="B12" s="2" t="s">
        <v>31</v>
      </c>
    </row>
    <row r="13" spans="1:2" x14ac:dyDescent="0.2">
      <c r="A13">
        <v>10</v>
      </c>
      <c r="B13" s="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39AA1707BB164D924C88A8652520F8" ma:contentTypeVersion="12" ma:contentTypeDescription="Create a new document." ma:contentTypeScope="" ma:versionID="7dbee148d642387d09fe2cf30f714c1b">
  <xsd:schema xmlns:xsd="http://www.w3.org/2001/XMLSchema" xmlns:xs="http://www.w3.org/2001/XMLSchema" xmlns:p="http://schemas.microsoft.com/office/2006/metadata/properties" xmlns:ns2="4828578a-2002-4229-896d-107de2893747" xmlns:ns3="4b505d4c-0df9-4384-9c18-4f3216bd7e63" targetNamespace="http://schemas.microsoft.com/office/2006/metadata/properties" ma:root="true" ma:fieldsID="1a95fa0b16a566063554c5d763eeccb8" ns2:_="" ns3:_="">
    <xsd:import namespace="4828578a-2002-4229-896d-107de2893747"/>
    <xsd:import namespace="4b505d4c-0df9-4384-9c18-4f3216bd7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8578a-2002-4229-896d-107de2893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05d4c-0df9-4384-9c18-4f3216bd7e6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81c172-582f-4d1a-9621-66d82fb94d1b}" ma:internalName="TaxCatchAll" ma:showField="CatchAllData" ma:web="4b505d4c-0df9-4384-9c18-4f3216bd7e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8578a-2002-4229-896d-107de2893747">
      <Terms xmlns="http://schemas.microsoft.com/office/infopath/2007/PartnerControls"/>
    </lcf76f155ced4ddcb4097134ff3c332f>
    <TaxCatchAll xmlns="4b505d4c-0df9-4384-9c18-4f3216bd7e63" xsi:nil="true"/>
  </documentManagement>
</p:properties>
</file>

<file path=customXml/itemProps1.xml><?xml version="1.0" encoding="utf-8"?>
<ds:datastoreItem xmlns:ds="http://schemas.openxmlformats.org/officeDocument/2006/customXml" ds:itemID="{A652C9B0-8B69-4A73-B489-1B608ACC38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E8DB77-D9DB-49AF-950A-48C33A45E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8578a-2002-4229-896d-107de2893747"/>
    <ds:schemaRef ds:uri="4b505d4c-0df9-4384-9c18-4f3216bd7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B5E63-9238-4046-8C5F-A05900351E86}">
  <ds:schemaRefs>
    <ds:schemaRef ds:uri="http://www.w3.org/XML/1998/namespace"/>
    <ds:schemaRef ds:uri="4828578a-2002-4229-896d-107de2893747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4b505d4c-0df9-4384-9c18-4f3216bd7e63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Diez, Nikolaus Heiner</dc:creator>
  <cp:keywords/>
  <dc:description/>
  <cp:lastModifiedBy>Shkirman Kseniia</cp:lastModifiedBy>
  <cp:revision/>
  <dcterms:created xsi:type="dcterms:W3CDTF">2025-05-23T08:31:56Z</dcterms:created>
  <dcterms:modified xsi:type="dcterms:W3CDTF">2025-10-07T15:18:27Z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0x010100D739AA1707BB164D924C88A8652520F8</vt:lpwstr>
  </property>
  <property fmtid="{D5CDD505-2E9C-101B-9397-08002B2CF9AE}" pid="3" name="MediaServiceImageTags">
    <vt:lpwstr/>
  </property>
</Properties>
</file>