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hidePivotFieldList="1"/>
  <mc:AlternateContent xmlns:mc="http://schemas.openxmlformats.org/markup-compatibility/2006">
    <mc:Choice Requires="x15">
      <x15ac:absPath xmlns:x15ac="http://schemas.microsoft.com/office/spreadsheetml/2010/11/ac" url="/Users/jonni/Desktop/"/>
    </mc:Choice>
  </mc:AlternateContent>
  <xr:revisionPtr revIDLastSave="0" documentId="13_ncr:1_{CB3131E7-DA33-8846-9AE5-86777C344551}" xr6:coauthVersionLast="47" xr6:coauthVersionMax="47" xr10:uidLastSave="{00000000-0000-0000-0000-000000000000}"/>
  <bookViews>
    <workbookView xWindow="0" yWindow="660" windowWidth="29400" windowHeight="18460" xr2:uid="{BB8B1A97-DC81-4F18-975D-CFFBCABE6D2C}"/>
  </bookViews>
  <sheets>
    <sheet name="Foglio1" sheetId="2" r:id="rId1"/>
  </sheets>
  <definedNames>
    <definedName name="_xlnm._FilterDatabase" localSheetId="0" hidden="1">Foglio1!$B$1:$B$169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6" i="2" l="1"/>
  <c r="N67" i="2"/>
  <c r="N68" i="2"/>
  <c r="N69" i="2"/>
  <c r="N70" i="2"/>
  <c r="N71" i="2"/>
  <c r="N2" i="2" l="1"/>
  <c r="N3" i="2"/>
  <c r="N4" i="2"/>
  <c r="N5" i="2"/>
  <c r="N6" i="2"/>
  <c r="N7" i="2"/>
  <c r="N8" i="2"/>
  <c r="N9" i="2"/>
  <c r="N11" i="2"/>
  <c r="N279" i="2"/>
  <c r="N280" i="2"/>
  <c r="N281" i="2"/>
  <c r="N282" i="2"/>
  <c r="N283" i="2"/>
  <c r="N284" i="2"/>
  <c r="N285" i="2"/>
  <c r="N286" i="2"/>
  <c r="N288" i="2"/>
  <c r="N252" i="2"/>
  <c r="N253" i="2"/>
  <c r="N254" i="2"/>
  <c r="N255" i="2"/>
  <c r="N256" i="2"/>
  <c r="N257" i="2"/>
  <c r="N258" i="2"/>
  <c r="N259" i="2"/>
  <c r="N261" i="2"/>
  <c r="N222" i="2"/>
  <c r="N223" i="2"/>
  <c r="N224" i="2"/>
  <c r="N225" i="2"/>
  <c r="N226" i="2"/>
  <c r="N227" i="2"/>
  <c r="N228" i="2"/>
  <c r="N229" i="2"/>
  <c r="N231" i="2"/>
  <c r="N190" i="2"/>
  <c r="N191" i="2"/>
  <c r="N192" i="2"/>
  <c r="N193" i="2"/>
  <c r="N194" i="2"/>
  <c r="N195" i="2"/>
  <c r="N196" i="2"/>
  <c r="N197" i="2"/>
  <c r="N199" i="2"/>
  <c r="N180" i="2"/>
  <c r="N181" i="2"/>
  <c r="N182" i="2"/>
  <c r="N183" i="2"/>
  <c r="N184" i="2"/>
  <c r="N185" i="2"/>
  <c r="N186" i="2"/>
  <c r="N187" i="2"/>
  <c r="N189" i="2"/>
  <c r="N170" i="2"/>
  <c r="N171" i="2"/>
  <c r="N172" i="2"/>
  <c r="N173" i="2"/>
  <c r="N174" i="2"/>
  <c r="N175" i="2"/>
  <c r="N176" i="2"/>
  <c r="N177" i="2"/>
  <c r="N179" i="2"/>
  <c r="N137" i="2"/>
  <c r="N129" i="2"/>
  <c r="N130" i="2"/>
  <c r="N131" i="2"/>
  <c r="N132" i="2"/>
  <c r="N133" i="2"/>
  <c r="N134" i="2"/>
  <c r="N135" i="2"/>
  <c r="N128" i="2"/>
  <c r="N46" i="2"/>
  <c r="N47" i="2"/>
  <c r="N48" i="2"/>
  <c r="N49" i="2"/>
  <c r="N50" i="2"/>
  <c r="N51" i="2"/>
  <c r="N52" i="2"/>
  <c r="N54" i="2"/>
  <c r="N45" i="2"/>
  <c r="N220" i="2"/>
  <c r="N219" i="2"/>
  <c r="N22" i="2"/>
  <c r="N23" i="2"/>
  <c r="N24" i="2"/>
  <c r="N25" i="2"/>
  <c r="N26" i="2"/>
  <c r="N27" i="2"/>
  <c r="N28" i="2"/>
  <c r="N29" i="2"/>
  <c r="N31" i="2"/>
  <c r="N32" i="2"/>
  <c r="N33" i="2"/>
  <c r="N34" i="2"/>
  <c r="N35" i="2"/>
  <c r="N36" i="2"/>
  <c r="N37" i="2"/>
  <c r="N38" i="2"/>
  <c r="N39" i="2"/>
  <c r="N40" i="2"/>
  <c r="N41" i="2"/>
  <c r="N42" i="2"/>
  <c r="N44" i="2"/>
  <c r="N55" i="2"/>
  <c r="N56" i="2"/>
  <c r="N57" i="2"/>
  <c r="N58" i="2"/>
  <c r="N59" i="2"/>
  <c r="N60" i="2"/>
  <c r="N61" i="2"/>
  <c r="N62" i="2"/>
  <c r="N63" i="2"/>
  <c r="N64" i="2"/>
  <c r="N77" i="2"/>
  <c r="N78" i="2"/>
  <c r="N79" i="2"/>
  <c r="N80" i="2"/>
  <c r="N81" i="2"/>
  <c r="N82" i="2"/>
  <c r="N83" i="2"/>
  <c r="N84" i="2"/>
  <c r="N86" i="2"/>
  <c r="N97" i="2"/>
  <c r="N98" i="2"/>
  <c r="N99" i="2"/>
  <c r="N100" i="2"/>
  <c r="N101" i="2"/>
  <c r="N102" i="2"/>
  <c r="N103" i="2"/>
  <c r="N104" i="2"/>
  <c r="N106" i="2"/>
  <c r="N72" i="2"/>
  <c r="N73" i="2"/>
  <c r="N74" i="2"/>
  <c r="N76" i="2"/>
  <c r="N117" i="2"/>
  <c r="N118" i="2"/>
  <c r="N119" i="2"/>
  <c r="N120" i="2"/>
  <c r="N121" i="2"/>
  <c r="N122" i="2"/>
  <c r="N123" i="2"/>
  <c r="N124" i="2"/>
  <c r="N125" i="2"/>
  <c r="N127" i="2"/>
  <c r="N148" i="2"/>
  <c r="N149" i="2"/>
  <c r="N150" i="2"/>
  <c r="N151" i="2"/>
  <c r="N152" i="2"/>
  <c r="N153" i="2"/>
  <c r="N154" i="2"/>
  <c r="N155" i="2"/>
  <c r="N156" i="2"/>
  <c r="N157" i="2"/>
  <c r="N159" i="2"/>
  <c r="N200" i="2"/>
  <c r="N201" i="2"/>
  <c r="N202" i="2"/>
  <c r="N203" i="2"/>
  <c r="N204" i="2"/>
  <c r="N205" i="2"/>
  <c r="N206" i="2"/>
  <c r="N207" i="2"/>
  <c r="N208" i="2"/>
  <c r="N209" i="2"/>
  <c r="N211" i="2"/>
  <c r="N212" i="2"/>
  <c r="N213" i="2"/>
  <c r="N214" i="2"/>
  <c r="N215" i="2"/>
  <c r="N216" i="2"/>
  <c r="N217" i="2"/>
  <c r="N218" i="2"/>
  <c r="N221" i="2"/>
  <c r="N242" i="2"/>
  <c r="N243" i="2"/>
  <c r="N244" i="2"/>
  <c r="N245" i="2"/>
  <c r="N246" i="2"/>
  <c r="N247" i="2"/>
  <c r="N248" i="2"/>
  <c r="N249" i="2"/>
  <c r="N25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160" i="2"/>
  <c r="N161" i="2"/>
  <c r="N162" i="2"/>
  <c r="N163" i="2"/>
  <c r="N164" i="2"/>
  <c r="N165" i="2"/>
  <c r="N166" i="2"/>
  <c r="N167" i="2"/>
  <c r="N169" i="2"/>
  <c r="N87" i="2"/>
  <c r="N88" i="2"/>
  <c r="N89" i="2"/>
  <c r="N90" i="2"/>
  <c r="N91" i="2"/>
  <c r="N92" i="2"/>
  <c r="N93" i="2"/>
  <c r="N94" i="2"/>
  <c r="N96" i="2"/>
  <c r="N232" i="2"/>
  <c r="N233" i="2"/>
  <c r="N234" i="2"/>
  <c r="N235" i="2"/>
  <c r="N236" i="2"/>
  <c r="N237" i="2"/>
  <c r="N238" i="2"/>
  <c r="N239" i="2"/>
  <c r="N241" i="2"/>
  <c r="N12" i="2"/>
  <c r="N13" i="2"/>
  <c r="N14" i="2"/>
  <c r="N15" i="2"/>
  <c r="N16" i="2"/>
  <c r="N17" i="2"/>
  <c r="N18" i="2"/>
  <c r="N19" i="2"/>
  <c r="N21" i="2"/>
  <c r="N107" i="2"/>
  <c r="N108" i="2"/>
  <c r="N109" i="2"/>
  <c r="N110" i="2"/>
  <c r="N111" i="2"/>
  <c r="N112" i="2"/>
  <c r="N138" i="2"/>
  <c r="N139" i="2"/>
  <c r="N140" i="2"/>
  <c r="N141" i="2"/>
  <c r="N142" i="2"/>
  <c r="N143" i="2"/>
  <c r="N144" i="2"/>
  <c r="N145" i="2"/>
  <c r="N147" i="2"/>
  <c r="M116" i="2" l="1"/>
  <c r="M114" i="2"/>
  <c r="M113" i="2"/>
  <c r="L111" i="2"/>
  <c r="L110" i="2"/>
  <c r="L109" i="2"/>
  <c r="L108" i="2"/>
  <c r="L107" i="2"/>
  <c r="N113" i="2" l="1"/>
  <c r="N114" i="2"/>
  <c r="N1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Kseniia Shkirman</author>
  </authors>
  <commentList>
    <comment ref="L204" authorId="0" shapeId="0" xr:uid="{5993A040-6197-1948-9405-A1F282A61050}">
      <text>
        <r>
          <rPr>
            <b/>
            <sz val="10"/>
            <color rgb="FF000000"/>
            <rFont val="Tahoma"/>
            <family val="2"/>
          </rPr>
          <t>Kseniia Shkirman: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Average of wood and laminate </t>
        </r>
      </text>
    </comment>
  </commentList>
</comments>
</file>

<file path=xl/sharedStrings.xml><?xml version="1.0" encoding="utf-8"?>
<sst xmlns="http://schemas.openxmlformats.org/spreadsheetml/2006/main" count="1454" uniqueCount="214">
  <si>
    <t>Nr.</t>
  </si>
  <si>
    <t>Country</t>
  </si>
  <si>
    <t>Region</t>
  </si>
  <si>
    <t>Renovation work</t>
  </si>
  <si>
    <t>Material</t>
  </si>
  <si>
    <t>Thickness [cm]</t>
  </si>
  <si>
    <t>Lambda [mK/W]</t>
  </si>
  <si>
    <t>Uw [W/m2K]</t>
  </si>
  <si>
    <t>Power [kW]</t>
  </si>
  <si>
    <t>Solar collector area [m2]</t>
  </si>
  <si>
    <t>Capacity [l]</t>
  </si>
  <si>
    <t>Price [€/m2]</t>
  </si>
  <si>
    <t>Price [€]</t>
  </si>
  <si>
    <t>Price [€/kW]</t>
  </si>
  <si>
    <t>Source Author, Title, Year</t>
  </si>
  <si>
    <t>Source link</t>
  </si>
  <si>
    <t>Austria</t>
  </si>
  <si>
    <t>General</t>
  </si>
  <si>
    <t>Wall insulation</t>
  </si>
  <si>
    <t>Air-water Heat Pump</t>
  </si>
  <si>
    <t>Wall insulation - additional</t>
  </si>
  <si>
    <t>Condensing boiler</t>
  </si>
  <si>
    <t>Roof insulation - Accessible</t>
  </si>
  <si>
    <t>Floor insulation</t>
  </si>
  <si>
    <t>Roof insulation - Makeover</t>
  </si>
  <si>
    <t>PV</t>
  </si>
  <si>
    <t>Windows</t>
  </si>
  <si>
    <t xml:space="preserve">Own estimation based on: Danish Energy Agency, Data Sheets for Individual Heating Installations, 2025 ; EUROSTAT, Labour cost for LCI (compensation of employees plus taxes minus subsidies), 2024 ; EUROSTAT, Price level indices, 2024 </t>
  </si>
  <si>
    <t>https://ens.dk/en/analyses-and-statistics/technology-data-individual-heating-plants; https://ec.europa.eu/eurostat/databrowser/view/lc_lci_lev__custom_20768188/bookmark/table?lang=en&amp;bookmarkId=c29d3a2d-e454-4fc2-a6fb-f280216adaec&amp;c=1774862376000 ; https://ec.europa.eu/eurostat/databrowser/view/prc_ppp_ind_1/default/table?lang=en</t>
  </si>
  <si>
    <t>Solar thermal panels</t>
  </si>
  <si>
    <t>SolarPowerEurope, EU Solar Jobs Report, 2025</t>
  </si>
  <si>
    <t>infobuildenergia.it/wp-content/uploads/2023/09/20250930_Report_EU_Solar_Jobs_Report_2025_Lits_ff3059f845.pdf?utm_source=chatgpt.com#page=7.07</t>
  </si>
  <si>
    <t>Belgium</t>
  </si>
  <si>
    <t>MW</t>
  </si>
  <si>
    <t>N. Baudoux. Construction, renovation: discover the evolution of the price of materials, room by room. 2023</t>
  </si>
  <si>
    <t>https://multimedia.lecho.be/immobilier-construction-renovation-prix-materiaux/</t>
  </si>
  <si>
    <t>myrenov. Insulating the walls of your home: the complete guide. 2025</t>
  </si>
  <si>
    <t>https://myrenov.be/en/energy-renovation/insulation/walls/</t>
  </si>
  <si>
    <t>GW</t>
  </si>
  <si>
    <t>myrenov. Thermal insulation for your roof: complete guide. 2025</t>
  </si>
  <si>
    <t>https://myrenov.be/en/energy-renovation/insulation/roof/</t>
  </si>
  <si>
    <t>myrenov. Garage, cellar, floors: how to insulate the slab below. 2025</t>
  </si>
  <si>
    <t>https://myrenov.be/en/energy-renovation/insulation/floor/</t>
  </si>
  <si>
    <t>PVC</t>
  </si>
  <si>
    <t>HomeSkillz. Heat pump installation in Belgium: standards and regulations. 2025</t>
  </si>
  <si>
    <t>https://homeskillz.com/en/pompe-a-chaleur/</t>
  </si>
  <si>
    <t>Bulgaria</t>
  </si>
  <si>
    <t xml:space="preserve">Daibau.bg. Фасади, цени. 2025 </t>
  </si>
  <si>
    <t>https://www.daibau.bg/ceni/fasada</t>
  </si>
  <si>
    <t>Daibau.bg. Изолация на мансарда, цени. 2025</t>
  </si>
  <si>
    <t>https://www.daibau.bg/ceni/izolatsiya_na_mansarda</t>
  </si>
  <si>
    <t>EPS</t>
  </si>
  <si>
    <t>Croatia</t>
  </si>
  <si>
    <t>Institut IGH. STANDARDNA KALKULACIJA RADOVA U VISOKOGRADNJI - NADOGRADNJA I. 2024</t>
  </si>
  <si>
    <t xml:space="preserve"> https://mpgi.gov.hr/UserDocsImages/dokumenti/Graditeljstvo/Bilten_N_I_9_24.pdf</t>
  </si>
  <si>
    <t>Institut IGH. STANDARDNA KALKULACIJA RADOVA U VISOKOGRADNJI - NADOGRADNJA I. 2025</t>
  </si>
  <si>
    <t>Institut IGH. STANDARDNA KALKULACIJA RADOVA U VISOKOGRADNJI - NADOGRADNJA I. 2026</t>
  </si>
  <si>
    <t xml:space="preserve">Emajstor. Dizalica topline - cijena toplinske pumpe. 2025 </t>
  </si>
  <si>
    <t>https://www.emajstor.hr/cijene/dizalica_topline#:~:text=Cijena%20sustava%20toplinske%20crpke%20voda,ku%C4%87u%2C%20odbit%20%C4%87ete%204.000%20EUR.</t>
  </si>
  <si>
    <t>Cyprus</t>
  </si>
  <si>
    <t xml:space="preserve">RTS. Cenová soustava RTS DATA. 62230003 Zateplení tepelně izolačním systémem z polystyrénu. 2025 </t>
  </si>
  <si>
    <t>https://rtscloud.cz/App/RTS-Data/</t>
  </si>
  <si>
    <t>Denmark</t>
  </si>
  <si>
    <t>Kragh, J., Rose, J., &amp; Aggerholm, S. Cost-optimal levels of minimum energy performance requirements in the Danish Building Regulations (3). 2023 https://vbn.aau.dk/en/publications/b70d844a-bf8e-483a-8895-9f90f1100262</t>
  </si>
  <si>
    <t>https://vbn.aau.dk/en/publications/b70d844a-bf8e-483a-8895-9f90f1100262</t>
  </si>
  <si>
    <t xml:space="preserve">byggefokus.dk. Isolering af tag: Guide &amp; oversigt. 2025 </t>
  </si>
  <si>
    <t>https://byggefokus.dk/isolering-af-tag/</t>
  </si>
  <si>
    <t>XPS</t>
  </si>
  <si>
    <t>Gulvlaegger.dk. Isolering af gulv: Prøv vores prisberegner for 2025 og få et fast tilbud. 2025</t>
  </si>
  <si>
    <t>https://gulvlaegger.dk/isolering-af-gulv/#f1p2</t>
  </si>
  <si>
    <t>Kragh, J., Rose, J., &amp; Aggerholm, S. Cost-optimal levels of minimum energy performance requirements in the Danish Building Regulations (3). 2023</t>
  </si>
  <si>
    <t xml:space="preserve">Danish Energy Agency, Data Sheets for Individual Heating Installations, 2025 </t>
  </si>
  <si>
    <t>https://ens.dk/en/analyses-and-statistics/technology-data-individual-heating-plants</t>
  </si>
  <si>
    <t>Estonia</t>
  </si>
  <si>
    <t xml:space="preserve">Thalfeldt et al. Window model and 5 year price data sensitivity to cost-effective façade solutions for of ce buildings in Estonia. 2017 </t>
  </si>
  <si>
    <t>http://dx.doi.org/10.1016/j.energy.2017.06.160</t>
  </si>
  <si>
    <t xml:space="preserve">Thalfeldt et al. Window model and 5 year price data sensitivity to cost-effective façade solutions for of ce buildings in Estonia. 2017 </t>
  </si>
  <si>
    <t>Cellulose</t>
  </si>
  <si>
    <t>Kertsmik et al. Evaluation of renovation strategies: cost-optimal, CO₂e optimal, or total energy optimal? 2023</t>
  </si>
  <si>
    <t>https://doi.org/10.1016/j.enbuild.2023.112995</t>
  </si>
  <si>
    <t>Finland</t>
  </si>
  <si>
    <t>Remppatori. Oletko eristämässä taloasi? 2025</t>
  </si>
  <si>
    <t>https://remppatori.fi/talo-ja-piha/eristys</t>
  </si>
  <si>
    <t>Niemelä, T., Levy, C., Kosonen, R., &amp; Jokisalo, J. Cost-optimal renovation solutions to maximize environmental performance, indoor thermal conditions and productivity of office buildings in cold climate. 2017</t>
  </si>
  <si>
    <t>https://doi.org/10.1016/j.scs.2017.04.009</t>
  </si>
  <si>
    <t>PUR</t>
  </si>
  <si>
    <t>Eemil Kraft on Urakkadiili. How much does it cost to insulate a cottage floor? 2022</t>
  </si>
  <si>
    <t>https://urakkadiili.fi/mokin-lattian-eristys-hinta#kuinka-paljon-mokin-lattian-eristaminen-maksaa</t>
  </si>
  <si>
    <t>Wood</t>
  </si>
  <si>
    <t>Esa Pursiheimo, Tomi J. Lindroos, Dennis Sundell, Miika Rämä, Ville Tulkki. Optimal investment analysis for heat pumps and nuclear heat in decarbonised Helsinki metropolitan district heating system. 2022</t>
  </si>
  <si>
    <t>https://doi.org/10.1016/j.enss.2022.03.001</t>
  </si>
  <si>
    <t>France</t>
  </si>
  <si>
    <t>Conseil d'analyse economique. "Analyse socio-economique de la renovation energetique des logements". 2024</t>
  </si>
  <si>
    <t>https://www.cae-eco.fr/analyse-socio-economique-de-la-renovation-energetique-des-logements</t>
  </si>
  <si>
    <t>Observatorie des batiments basse consommation. "Les maisons renovees a basse consommation". 2021</t>
  </si>
  <si>
    <t>https://www.effinergie.org/web/images/attach/base_doc/2912/20210429etude-renovation.pdf#page=33.44</t>
  </si>
  <si>
    <t>Germany</t>
  </si>
  <si>
    <t>Thilo Koch, Samuel Achenbach, André Müller,  Anpassung der Kostenfunktionen energierelevanter Bauund Anlagenteile bei der energetischen Modernisierung, 2024</t>
  </si>
  <si>
    <t>https://www.researchgate.net/publication/383122317_Anpassung_der_Kostenfunktionen_energierelevanter_Bau-_und_Anlagenteile_bei_der_energetischen_Modernisierung_von_Altbauten_auf_das_Preisniveau_2022_und_2023_Working_Paper</t>
  </si>
  <si>
    <t>Deutsche Energie-Agentur GmbH, Technikkatalog Wärmeplanung, 2024</t>
  </si>
  <si>
    <t>https://view.officeapps.live.com/op/view.aspx?src=https%3A%2F%2Fapi.kww-halle.de%2Ffileadmin%2Fuser_upload%2FTechnikkatalog_W%25C3%25A4rmeplanung_Version_1.1_August24_CC-BY.xlsx&amp;wdOrigin=BROWSELINK</t>
  </si>
  <si>
    <t>Photovoltaic Cost eXtremOS Short Report 2021</t>
  </si>
  <si>
    <t>https://extremos.ffe.de/pdf/ShortReport_PV-Cost.pdf</t>
  </si>
  <si>
    <t>Greece</t>
  </si>
  <si>
    <t>Β. Καλεντζιδης et al. Τιμολόγιο Δημοπράτησης Δήμου Ορεστιάδας Αρ.Μελέτης 14/2018. 2020</t>
  </si>
  <si>
    <t>https://www.orestiada.gr/wp-content/uploads/2020/05/07a.TimologioEAKS.pdf</t>
  </si>
  <si>
    <t xml:space="preserve">79.46 Γενική γραμματεία Ενέργειας και Ορυκτών Πρώτων Υλών. Τεχνική οδηγία Τεχνικού Επιμελητηρίου Ελλάδας Τ.Ο.Τ.Ε.Ε. 20701-2/2017. Θερμοφυσικές ιδιότητες δομικών υλικών και έλεγχος της θερμομονωτικής επάρκειας των κτηρίων. 2017 </t>
  </si>
  <si>
    <t>http://www.kenak.gr/files/TOTEE_20701-2_2017.pdf</t>
  </si>
  <si>
    <t xml:space="preserve">Ελληνικη δη μοκρατια υπουργειο υποδομων και μεταφορων γενικη γραμματεια υποδομων. Κανονισμός Περιγραφικών Τιμολογίων εργασιών. 2017 </t>
  </si>
  <si>
    <t>https://search.et.gr/el/fek/?fekId=551745</t>
  </si>
  <si>
    <t>Ελληνικη δη μοκρατια υπουργειο υποδομων και μεταφορων γενικη γραμματεια υποδομων. Κανονισμός Περιγραφικών Τιμολογίων εργασιών. 2017 https://search.et.gr/el/fek/?fekId=551745</t>
  </si>
  <si>
    <t>Al with TB</t>
  </si>
  <si>
    <t>Αριστοτελειο Πανεπιστημιο Θεσσαλονικησ. Τιμολόγιο Δημοπράτησης Αναβάθμιση του Εργαστηρίου Ανάπτυξης . 2017 https://www.auth.gr/wp-content/uploads/espa_kthniatrikh_2._timologio_1.pdf</t>
  </si>
  <si>
    <t>https://www.auth.gr/wp-content/uploads/espa_kthniatrikh_2._timologio_1.pdf</t>
  </si>
  <si>
    <t xml:space="preserve">Αριστοτελειο Πανεπιστημιο Θεσσαλονικησ. Τιμολόγιο Δημοπράτησης Δήμου Θεσσαλονίκης Αρ_Μελέτης ΔΚΣ 01-2020. 2021 </t>
  </si>
  <si>
    <t>https://thessaloniki.gr/wp-content/uploads/2021/05/2021-077_%CE%A4%CE%99%CE%9C%CE%9F%CE%9B%CE%9F%CE%93%CE%99%CE%9F-%CE%9C%CE%95%CE%9B%CE%95%CE%A4%CE%97%CE%A3.pdf</t>
  </si>
  <si>
    <t xml:space="preserve">Αριστοτελειο Πανεπιστημιο Θεσσαλονικησ. Τιμολόγιο Δημοπράτησης Αναβάθμιση της νέας Φιλοσοφικής. 2021 </t>
  </si>
  <si>
    <t xml:space="preserve">https://www.auth.gr/wp-content/uploads/2.-sign-%CE%A4%CE%99%CE%9C%CE%9F%CE%9B%CE%9F%CE%93%CE%99%CE%9F-%CE%94%CE%97%CE%9C%CE%9F%CE%A0%CE%A1%CE%91%CE%A4%CE%97%CE%A3%CE%97%CE%A3.pdf  </t>
  </si>
  <si>
    <t>Hungary</t>
  </si>
  <si>
    <t>Ireland</t>
  </si>
  <si>
    <t>https://buildpro.ie/blog/cost-to-insulate-house-ireland</t>
  </si>
  <si>
    <t>https://osber.ie/how-much-does-it-cost-to-insulate-a-house-in-ireland/</t>
  </si>
  <si>
    <t>window24.ie. Window Replacement Cost. 2025</t>
  </si>
  <si>
    <t>https://www.window24.ie/window-prices/window-replacement-cost/#:~:text=Table_title:%20How%20much%20do%20replacement%20windows%20cost?,per%20window:%20Average%20cost%20per%20window%20%7C</t>
  </si>
  <si>
    <t>Own estimation based on: Danish Energy Agency, Data Sheets for Individual Heating Installations, 2025 ; EUROSTAT, Labour cost for LCI (compensation of employees plus taxes minus subsidies), 2024 ; EUROSTAT, Price level indices, 2024 ; Dublin gasboiler, Gas Boiler Replacement. 2024</t>
  </si>
  <si>
    <t>https://ens.dk/en/analyses-and-statistics/technology-data-individual-heating-plants; https://ec.europa.eu/eurostat/databrowser/view/lc_lci_lev__custom_20768188/bookmark/table?lang=en&amp;bookmarkId=c29d3a2d-e454-4fc2-a6fb-f280216adaec&amp;c=1774862376000 ; https://ec.europa.eu/eurostat/databrowser/view/prc_ppp_ind_1/default/table?lang=en; https://dublin-gasboilers.ie/gas-boiler-replacement-dublin/</t>
  </si>
  <si>
    <t>Italy</t>
  </si>
  <si>
    <t>Lombardia</t>
  </si>
  <si>
    <t xml:space="preserve">Regione Lombardia. "Prezzario regionale dei lavori pubblici". 2024 </t>
  </si>
  <si>
    <t>https://www.regione.lombardia.it/wps/wcm/connect/fbd4093d-f598-44f6-954b-dd5fd58b1cff/A%29+Parte1.pdf?MOD=AJPERES&amp;CACHEID=ROOTWORKSPACE-fbd4093d-f598-44f6-954b-dd5fd58b1cff-oUt-93w</t>
  </si>
  <si>
    <t>Regione Lombardia. "Prezzario regionale dei lavori pubblici". 2025</t>
  </si>
  <si>
    <t>Regione Lombardia. "Prezzario regionale dei lavori pubblici". 2024</t>
  </si>
  <si>
    <t>Al</t>
  </si>
  <si>
    <t>Regione Lombardia. "Prezzario regionale dei lavori pubblici". 2026</t>
  </si>
  <si>
    <t>Ryland et al. Heating economics evaluated against emissions: An analysis of low-carbon heating systems with spatiotemporal and dwelling variations. 2022</t>
  </si>
  <si>
    <t>https://www.sciencedirect.com/science/article/pii/S037877882200732</t>
  </si>
  <si>
    <t>own estimation based on: 
Fleiter, T., Steinbach, J., Ragwitz, M. 
Mapping and analyses of the current and future (2020 - 2030)
heating/cooling fuel deployment (fossil/renewables). 2016</t>
  </si>
  <si>
    <t>https://ec.europa.eu/energy/sites/ener/files/documents/mapping-hc-final_report-wp2.pdf</t>
  </si>
  <si>
    <t>National Survey Report of PV Power Applications in Italy 2022 Tilli F., Maugeri G., Roca F., Scipioni A. National Survey Report of PV Power Applications in Italy. 2022</t>
  </si>
  <si>
    <t>https://www.gse.it/documenti_site/Documenti%20GSE/Studi%20e%20scenari/National%20Survey%20Report%20PV%20Italy%202022.pdf</t>
  </si>
  <si>
    <t>Estimation based on: 
Fleiter, T., Steinbach, J., Ragwitz, M. 
Mapping and analyses of the current and future (2020 - 2030)
heating/cooling fuel deployment (fossil/renewables). 2016</t>
  </si>
  <si>
    <t>Latvia</t>
  </si>
  <si>
    <t>brigada.lv. Remonta darbu cenas 2025. 2025</t>
  </si>
  <si>
    <t>https://brigada.lv/buvdarbu-izmaksas/</t>
  </si>
  <si>
    <t>brigada.lv. Remonta darbu cenas 2025. 2026</t>
  </si>
  <si>
    <t>brigada.lv. Remonta darbu cenas 2025. 2027</t>
  </si>
  <si>
    <t>Lithuania</t>
  </si>
  <si>
    <t>Luxembourg</t>
  </si>
  <si>
    <t>Malta</t>
  </si>
  <si>
    <t>Netherlands</t>
  </si>
  <si>
    <t>Bricknest. Spouwmuur- en gevelisolatie gids: opties en kosten. 2024</t>
  </si>
  <si>
    <t>https://www.bricknest.nl/blog/spouwmuur-en-gevelisolatie-gids-opties-en-kosten</t>
  </si>
  <si>
    <t>Homedeal. Dakrenovatie kosten. 2025</t>
  </si>
  <si>
    <t>https://www.homedeal.nl/dakbedekking/dakrenovatie-kosten/</t>
  </si>
  <si>
    <t>Homedeal. Kozijnen vervangen. 2023</t>
  </si>
  <si>
    <t>https://www.homedeal.nl/kozijnen/kozijnen-vervangen/</t>
  </si>
  <si>
    <t>Homedeal. Kozijnen vervangen. 2024</t>
  </si>
  <si>
    <t>Plastic</t>
  </si>
  <si>
    <t>Homedeal. Kozijnen vervangen. 2025</t>
  </si>
  <si>
    <t>Gerben Willem Jacob Piet. An end-user cost economic- and environmental comparison of alternative heating scenarios
for households in the Netherlands. 2020</t>
  </si>
  <si>
    <t>https://studenttheses.uu.nl/bitstream/handle/20.500.12932/37656/Thesis_G.W.J.PIET_20-08-2020.pdf?sequence=1</t>
  </si>
  <si>
    <t>Poland</t>
  </si>
  <si>
    <t xml:space="preserve">Radosław Murat. Jak ocieplić ściany zewnętrzne - koszt docieplenia domu murowanego. 2024 </t>
  </si>
  <si>
    <t xml:space="preserve">https://muratordom.pl/budowa/sciany-murowane/jak-ocieplic-sciany-zewnetrzne-koszty-docieplenia-domu-murowanego-aa-mZ3N-gY1L-bn3a.html#source=nces&amp;medium=coll </t>
  </si>
  <si>
    <t>Rafał Zawadzki. Ocieplenie poddasza styropianem czy wełną - kluczowe różnice. 2024</t>
  </si>
  <si>
    <t>https://flookstudio.pl/ocieplenie-poddasza-styropianem-czy-welna-kluczowe-roznice</t>
  </si>
  <si>
    <t>Aneta Wojtczak. Ile kosztuje ocieplenie domu w 2025 roku? 2025</t>
  </si>
  <si>
    <t>https://renowa24.pl/Ile-kosztuje-ocieplenie-domu-w-2024-roku-blog-pol-1636717079.html?srsltid=AfmBOor9-HoUzyxmsX79Hj5uPuuKqMXFj81It7xYNNbwK7tSprHIwsmc#link5</t>
  </si>
  <si>
    <t>Polski Program Finansowania Efektywności Energetycznej w Budynkach Mieszkalnych (PolREFF). Wymiana okien i drzwi. 2025</t>
  </si>
  <si>
    <t>https://polreff.org/poradnik/wymiana-okien-i-drzwi/</t>
  </si>
  <si>
    <t xml:space="preserve">Czepło Filip. Optimization of construction costs and demand for renewable energy in the life cycle of an example building. 2023 </t>
  </si>
  <si>
    <t>http://dx.doi.org/10.5604/01.3001.0053.8499</t>
  </si>
  <si>
    <t xml:space="preserve"> Rzeczpospolita, Instytut Energetyki Odnawialnej. Average unit price of photovoltaic installation depending on power in Poland in 2020. 2020</t>
  </si>
  <si>
    <t>https://www.statista.com/statistics/1124327/poland-average-unit-price-of-pv-installation-depending-on-power/</t>
  </si>
  <si>
    <t>Portugal</t>
  </si>
  <si>
    <t>Romania</t>
  </si>
  <si>
    <t>Daibau.ro, Izolație exterioară - Preț fațadă casă 2025, 2025</t>
  </si>
  <si>
    <t>https://www.daibau.ro/preturi/fatade_case</t>
  </si>
  <si>
    <t xml:space="preserve">Daibau.ro., Preț manoperă acoperiș 2025 </t>
  </si>
  <si>
    <t>https://www.daibau.ro/preta/acoperisuri</t>
  </si>
  <si>
    <t>Ferestre direct.ro, Prețuri pentru ferestre termopane în 2025: la ce să fiți atenți?, 2025</t>
  </si>
  <si>
    <t>https://ferestredirect.ro/ro/blog-articole/preturi-ferestre-termopan-2025</t>
  </si>
  <si>
    <t>daibau.ro,Pompă de căldură preț, 2025</t>
  </si>
  <si>
    <t>https://www.daibau.ro/preturi/pompa_de_caldura</t>
  </si>
  <si>
    <t>Slovakia</t>
  </si>
  <si>
    <t>Saint-Gobain Weber. Cena za zateplenie domu. 2025</t>
  </si>
  <si>
    <t>https://www.sk.weber/aka-je-cena-zateplenia-domu</t>
  </si>
  <si>
    <t>Saint-Gobain Weber. Cena za zateplenie domu. 2026</t>
  </si>
  <si>
    <t>Slovenskej agentúry životného prostredia. Program Obnov Dom. Kalkulačka predpokladanej výšky príspevku na obnovu rodinného domu. 2025</t>
  </si>
  <si>
    <t>https://obnovdom.sk/</t>
  </si>
  <si>
    <t>Numiq.com. Cena za podlahárske práce. 2025</t>
  </si>
  <si>
    <t>https://numiq.com/sk/stavebne-prace/podlaharske-prace</t>
  </si>
  <si>
    <t>Slovenskej agentúry životného prostredia. Program Obnov Dom. Kalkulačka predpokladanej výšky príspevku na obnovu rodinného domu. 2026</t>
  </si>
  <si>
    <t>Slovenskej agentúry životného prostredia. Program Obnov Dom. Kalkulačka predpokladanej výšky príspevku na obnovu rodinného domu. 2027</t>
  </si>
  <si>
    <t>Slovenskej agentúry životného prostredia. Program Obnov Dom. Kalkulačka predpokladanej výšky príspevku na obnovu rodinného domu. 2028</t>
  </si>
  <si>
    <t>Slovenia</t>
  </si>
  <si>
    <t>Spain</t>
  </si>
  <si>
    <t>Madrid</t>
  </si>
  <si>
    <t xml:space="preserve">Instituto Valenciano de la Edificación. Base de Datos de Construcción. ENTA.1abcaaa. 2024 </t>
  </si>
  <si>
    <t>https://bdc.f-ive.es/</t>
  </si>
  <si>
    <t>ENTA.1abcaaa Instituto Valenciano de la Edificación. Base de Datos de Construcción. 2024</t>
  </si>
  <si>
    <t>ENTA.1bbcaaa Instituto Valenciano de la Edificación. Base de Datos de Construcción. 2024</t>
  </si>
  <si>
    <t>EQAV.2aaaa Instituto Valenciano de la Edificación. Base de Datos de Construcción. 2024</t>
  </si>
  <si>
    <t>EQAV.2ahaa EQAV.2aaaa Instituto Valenciano de la Edificación. Base de Datos de Construcción. 2024</t>
  </si>
  <si>
    <t>EQAV.2alaa EQAV.2aaaa Instituto Valenciano de la Edificación. Base de Datos de Construcción. 2024</t>
  </si>
  <si>
    <t>Instituto Valenciano de la Edificación. Base de Datos de Construcción. 2024</t>
  </si>
  <si>
    <t>Sweden</t>
  </si>
  <si>
    <t>Own estimation</t>
  </si>
  <si>
    <t>Own estimation based on: Conseil d'analyse economique. "Analyse socio-economique de la renovation energetique des logements". 2024	https://www.cae-eco.fr/analyse-socio-economique-de-la-renovation-energetique-des-logements</t>
  </si>
  <si>
    <t>Own Estimation</t>
  </si>
  <si>
    <t>Own elaboration based on: INSTITUT WOHNEN UND UMWELT GmbH, Kosten energierelevanter Bau- und Anlagenteile bei der energetischen Modernisierung von Wohngebäuden, 2020</t>
  </si>
  <si>
    <t>Czech Republic</t>
  </si>
  <si>
    <t>Own elaboration based on Kragh, J., Rose, J., &amp; Aggerholm, S. Cost-optimal levels of minimum energy performance requirements in the Danish Building Regulations (3). 2023</t>
  </si>
  <si>
    <t>Own estimation based on: M. Keane. How Much Does It Cost to Insulate a House in Ireland?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</si>
</sst>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44" fontId="0" fillId="0" borderId="0" xfId="1" applyFont="1" applyBorder="1" applyAlignment="1">
      <alignment vertical="center"/>
    </xf>
    <xf numFmtId="44" fontId="0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4" fontId="0" fillId="0" borderId="0" xfId="1" applyFont="1" applyAlignment="1">
      <alignment vertical="center"/>
    </xf>
    <xf numFmtId="0" fontId="3" fillId="0" borderId="0" xfId="0" applyFont="1" applyAlignment="1">
      <alignment vertical="center" wrapText="1"/>
    </xf>
    <xf numFmtId="44" fontId="3" fillId="0" borderId="0" xfId="1" applyFont="1" applyFill="1" applyAlignment="1">
      <alignment vertical="center" wrapText="1"/>
    </xf>
    <xf numFmtId="0" fontId="5" fillId="0" borderId="0" xfId="0" applyFont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0" xfId="1" applyFont="1" applyFill="1" applyAlignment="1">
      <alignment vertical="center"/>
    </xf>
    <xf numFmtId="0" fontId="4" fillId="0" borderId="0" xfId="2" applyFill="1" applyAlignment="1">
      <alignment vertical="center"/>
    </xf>
    <xf numFmtId="0" fontId="4" fillId="0" borderId="0" xfId="2" applyFill="1"/>
    <xf numFmtId="0" fontId="4" fillId="0" borderId="0" xfId="2" applyFill="1" applyBorder="1" applyAlignment="1">
      <alignment vertical="center"/>
    </xf>
    <xf numFmtId="0" fontId="5" fillId="0" borderId="0" xfId="0" applyFont="1"/>
    <xf numFmtId="0" fontId="4" fillId="0" borderId="0" xfId="2" applyFill="1" applyBorder="1"/>
    <xf numFmtId="0" fontId="5" fillId="2" borderId="0" xfId="0" applyFont="1" applyFill="1"/>
  </cellXfs>
  <cellStyles count="5">
    <cellStyle name="Collegamento ipertestuale" xfId="2" builtinId="8"/>
    <cellStyle name="Currency 2" xfId="3" xr:uid="{63C9819F-46CB-034D-A106-43D81EE6D76A}"/>
    <cellStyle name="Normal 2" xfId="4" xr:uid="{A265AE39-1B40-7645-A232-F9FD65E0E9D3}"/>
    <cellStyle name="Normale" xfId="0" builtinId="0"/>
    <cellStyle name="Valuta" xfId="1" builtinId="4"/>
  </cellStyles>
  <dxfs count="25"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* #,##0.00\ &quot;€&quot;_-;\-* #,##0.00\ &quot;€&quot;_-;_-* &quot;-&quot;??\ &quot;€&quot;_-;_-@_-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PVs" id="{EB82F14C-35F8-8E43-9D3C-4EA389100252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42EC9-25C4-EF4C-A73D-2B28E68D3113}" name="Table1" displayName="Table1" ref="A1:P288" totalsRowShown="0" headerRowDxfId="24" dataDxfId="22" headerRowBorderDxfId="23" tableBorderDxfId="21">
  <autoFilter ref="A1:P288" xr:uid="{70142EC9-25C4-EF4C-A73D-2B28E68D3113}"/>
  <sortState xmlns:xlrd2="http://schemas.microsoft.com/office/spreadsheetml/2017/richdata2" ref="A2:P288">
    <sortCondition ref="B1:B288"/>
  </sortState>
  <tableColumns count="16">
    <tableColumn id="15" xr3:uid="{C955C371-AC5F-47B4-AF3B-EF036F92CC61}" name="Nr." dataDxfId="20"/>
    <tableColumn id="1" xr3:uid="{2F279A31-68DC-DD4F-B2B5-3E461931A78F}" name="Country" dataDxfId="19"/>
    <tableColumn id="2" xr3:uid="{C64A64B6-CF64-1E41-989C-8DB6651D80A4}" name="Region" dataDxfId="18"/>
    <tableColumn id="3" xr3:uid="{1F8F81BC-F56F-BC4F-9E3E-C990F4AB2CAF}" name="Renovation work" dataDxfId="17"/>
    <tableColumn id="4" xr3:uid="{2B5DC813-08B7-474F-A15C-4BAEE3AE915D}" name="Material" dataDxfId="16"/>
    <tableColumn id="5" xr3:uid="{EF8323E7-DDFC-0141-908E-9733C7AADEFA}" name="Thickness [cm]" dataDxfId="15"/>
    <tableColumn id="6" xr3:uid="{6CF180A0-6A02-DD4F-80D3-3979799C283F}" name="Lambda [mK/W]" dataDxfId="14"/>
    <tableColumn id="7" xr3:uid="{75027969-6ADB-B340-988E-E7CDA0EE058E}" name="Uw [W/m2K]" dataDxfId="13"/>
    <tableColumn id="8" xr3:uid="{7F742A70-DDFD-3341-A257-E41B5268C39F}" name="Power [kW]" dataDxfId="12"/>
    <tableColumn id="9" xr3:uid="{186F7175-BA41-FC49-974E-92A94D1C75DB}" name="Solar collector area [m2]" dataDxfId="11"/>
    <tableColumn id="10" xr3:uid="{BC131C0E-44BA-B64E-87F0-26ABE8C62AB7}" name="Capacity [l]" dataDxfId="10"/>
    <tableColumn id="11" xr3:uid="{5862F392-D87F-EF41-840D-FB6238044C40}" name="Price [€/m2]" dataDxfId="9"/>
    <tableColumn id="12" xr3:uid="{32796EB3-E1C7-7B4F-8777-3171822292D2}" name="Price [€]" dataDxfId="8"/>
    <tableColumn id="16" xr3:uid="{53897744-0C0F-4C0E-9EEE-50D2842536FF}" name="Price [€/kW]" dataDxfId="7">
      <calculatedColumnFormula>IFERROR(Table1[[#This Row],[Price '[€']]]/Table1[[#This Row],[Power '[kW']]],)</calculatedColumnFormula>
    </tableColumn>
    <tableColumn id="13" xr3:uid="{909E6B54-7904-E343-82CC-348CFD08BB27}" name="Source Author, Title, Year" dataDxfId="6"/>
    <tableColumn id="14" xr3:uid="{41227B47-6FCF-4F49-83D4-84E655C3E1EE}" name="Source link" dataDxfId="5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21" Type="http://schemas.openxmlformats.org/officeDocument/2006/relationships/hyperlink" Target="https://www.auth.gr/wp-content/uploads/2.-sign-%CE%A4%CE%99%CE%9C%CE%9F%CE%9B%CE%9F%CE%93%CE%99%CE%9F-%CE%94%CE%97%CE%9C%CE%9F%CE%A0%CE%A1%CE%91%CE%A4%CE%97%CE%A3%CE%97%CE%A3.pdf" TargetMode="External"/><Relationship Id="rId42" Type="http://schemas.openxmlformats.org/officeDocument/2006/relationships/hyperlink" Target="http://dx.doi.org/10.5604/01.3001.0053.8499" TargetMode="External"/><Relationship Id="rId63" Type="http://schemas.openxmlformats.org/officeDocument/2006/relationships/hyperlink" Target="https://bdc.f-ive.es/" TargetMode="External"/><Relationship Id="rId84" Type="http://schemas.openxmlformats.org/officeDocument/2006/relationships/hyperlink" Target="https://ferestredirect.ro/ro/blog-articole/preturi-ferestre-termopan-2025" TargetMode="External"/><Relationship Id="rId138" Type="http://schemas.openxmlformats.org/officeDocument/2006/relationships/hyperlink" Target="https://ens.dk/en/analyses-and-statistics/technology-data-individual-heating-plants" TargetMode="External"/><Relationship Id="rId107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1" Type="http://schemas.openxmlformats.org/officeDocument/2006/relationships/hyperlink" Target="https://vbn.aau.dk/en/publications/b70d844a-bf8e-483a-8895-9f90f1100262" TargetMode="External"/><Relationship Id="rId32" Type="http://schemas.openxmlformats.org/officeDocument/2006/relationships/hyperlink" Target="https://www.bricknest.nl/blog/spouwmuur-en-gevelisolatie-gids-opties-en-kosten" TargetMode="External"/><Relationship Id="rId53" Type="http://schemas.openxmlformats.org/officeDocument/2006/relationships/hyperlink" Target="https://www.homedeal.nl/kozijnen/kozijnen-vervangen/" TargetMode="External"/><Relationship Id="rId74" Type="http://schemas.openxmlformats.org/officeDocument/2006/relationships/hyperlink" Target="https://brigada.lv/buvdarbu-izmaksas/" TargetMode="External"/><Relationship Id="rId128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5" Type="http://schemas.openxmlformats.org/officeDocument/2006/relationships/hyperlink" Target="https://www.cae-eco.fr/analyse-socio-economique-de-la-renovation-energetique-des-logements" TargetMode="External"/><Relationship Id="rId90" Type="http://schemas.openxmlformats.org/officeDocument/2006/relationships/hyperlink" Target="https://homeskillz.com/en/pompe-a-chaleur/" TargetMode="External"/><Relationship Id="rId95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22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27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3" Type="http://schemas.openxmlformats.org/officeDocument/2006/relationships/hyperlink" Target="https://polreff.org/poradnik/wymiana-okien-i-drzwi/" TargetMode="External"/><Relationship Id="rId48" Type="http://schemas.openxmlformats.org/officeDocument/2006/relationships/hyperlink" Target="https://numiq.com/sk/stavebne-prace/podlaharske-prace" TargetMode="External"/><Relationship Id="rId64" Type="http://schemas.openxmlformats.org/officeDocument/2006/relationships/hyperlink" Target="https://bdc.f-ive.es/" TargetMode="External"/><Relationship Id="rId69" Type="http://schemas.openxmlformats.org/officeDocument/2006/relationships/hyperlink" Target="https://bdc.f-ive.es/" TargetMode="External"/><Relationship Id="rId113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18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4" Type="http://schemas.openxmlformats.org/officeDocument/2006/relationships/hyperlink" Target="https://ens.dk/en/analyses-and-statistics/technology-data-individual-heating-plants" TargetMode="External"/><Relationship Id="rId139" Type="http://schemas.openxmlformats.org/officeDocument/2006/relationships/hyperlink" Target="https://ens.dk/en/analyses-and-statistics/technology-data-individual-heating-plants" TargetMode="External"/><Relationship Id="rId80" Type="http://schemas.openxmlformats.org/officeDocument/2006/relationships/hyperlink" Target="https://doi.org/10.1016/j.scs.2017.04.009" TargetMode="External"/><Relationship Id="rId85" Type="http://schemas.openxmlformats.org/officeDocument/2006/relationships/hyperlink" Target="https://myrenov.be/en/energy-renovation/insulation/roof/" TargetMode="External"/><Relationship Id="rId12" Type="http://schemas.openxmlformats.org/officeDocument/2006/relationships/hyperlink" Target="https://gulvlaegger.dk/isolering-af-gulv/" TargetMode="External"/><Relationship Id="rId17" Type="http://schemas.openxmlformats.org/officeDocument/2006/relationships/hyperlink" Target="https://search.et.gr/el/fek/?fekId=551745" TargetMode="External"/><Relationship Id="rId33" Type="http://schemas.openxmlformats.org/officeDocument/2006/relationships/hyperlink" Target="https://www.homedeal.nl/dakbedekking/dakrenovatie-kosten/" TargetMode="External"/><Relationship Id="rId38" Type="http://schemas.openxmlformats.org/officeDocument/2006/relationships/hyperlink" Target="https://muratordom.pl/budowa/sciany-murowane/jak-ocieplic-sciany-zewnetrzne-koszty-docieplenia-domu-murowanego-aa-mZ3N-gY1L-bn3a.html" TargetMode="External"/><Relationship Id="rId59" Type="http://schemas.openxmlformats.org/officeDocument/2006/relationships/hyperlink" Target="https://bdc.f-ive.es/" TargetMode="External"/><Relationship Id="rId103" Type="http://schemas.openxmlformats.org/officeDocument/2006/relationships/hyperlink" Target="https://osber.ie/how-much-does-it-cost-to-insulate-a-house-in-ireland/" TargetMode="External"/><Relationship Id="rId108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24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29" Type="http://schemas.openxmlformats.org/officeDocument/2006/relationships/hyperlink" Target="https://extremos.ffe.de/pdf/ShortReport_PV-Cost.pdf" TargetMode="External"/><Relationship Id="rId54" Type="http://schemas.openxmlformats.org/officeDocument/2006/relationships/hyperlink" Target="https://www.homedeal.nl/kozijnen/kozijnen-vervangen/" TargetMode="External"/><Relationship Id="rId70" Type="http://schemas.openxmlformats.org/officeDocument/2006/relationships/hyperlink" Target="https://bdc.f-ive.es/" TargetMode="External"/><Relationship Id="rId75" Type="http://schemas.openxmlformats.org/officeDocument/2006/relationships/hyperlink" Target="https://brigada.lv/buvdarbu-izmaksas/" TargetMode="External"/><Relationship Id="rId91" Type="http://schemas.openxmlformats.org/officeDocument/2006/relationships/hyperlink" Target="https://remppatori.fi/talo-ja-piha/eristys" TargetMode="External"/><Relationship Id="rId96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40" Type="http://schemas.openxmlformats.org/officeDocument/2006/relationships/hyperlink" Target="https://ens.dk/en/analyses-and-statistics/technology-data-individual-heating-plants" TargetMode="External"/><Relationship Id="rId145" Type="http://schemas.openxmlformats.org/officeDocument/2006/relationships/vmlDrawing" Target="../drawings/vmlDrawing1.vml"/><Relationship Id="rId1" Type="http://schemas.openxmlformats.org/officeDocument/2006/relationships/hyperlink" Target="http://dx.doi.org/10.1016/j.energy.2017.06.160" TargetMode="External"/><Relationship Id="rId6" Type="http://schemas.openxmlformats.org/officeDocument/2006/relationships/hyperlink" Target="https://www.effinergie.org/web/images/attach/base_doc/2912/20210429etude-renovation.pdf" TargetMode="External"/><Relationship Id="rId23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28" Type="http://schemas.openxmlformats.org/officeDocument/2006/relationships/hyperlink" Target="https://www.sciencedirect.com/science/article/pii/S037877882200732" TargetMode="External"/><Relationship Id="rId49" Type="http://schemas.openxmlformats.org/officeDocument/2006/relationships/hyperlink" Target="https://obnovdom.sk/" TargetMode="External"/><Relationship Id="rId114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19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44" Type="http://schemas.openxmlformats.org/officeDocument/2006/relationships/hyperlink" Target="https://www.statista.com/statistics/1124327/poland-average-unit-price-of-pv-installation-depending-on-power/" TargetMode="External"/><Relationship Id="rId60" Type="http://schemas.openxmlformats.org/officeDocument/2006/relationships/hyperlink" Target="https://bdc.f-ive.es/" TargetMode="External"/><Relationship Id="rId65" Type="http://schemas.openxmlformats.org/officeDocument/2006/relationships/hyperlink" Target="https://bdc.f-ive.es/" TargetMode="External"/><Relationship Id="rId81" Type="http://schemas.openxmlformats.org/officeDocument/2006/relationships/hyperlink" Target="https://doi.org/10.1016/j.enss.2022.03.001" TargetMode="External"/><Relationship Id="rId86" Type="http://schemas.openxmlformats.org/officeDocument/2006/relationships/hyperlink" Target="https://multimedia.lecho.be/immobilier-construction-renovation-prix-materiaux/" TargetMode="External"/><Relationship Id="rId130" Type="http://schemas.openxmlformats.org/officeDocument/2006/relationships/hyperlink" Target="https://ens.dk/en/analyses-and-statistics/technology-data-individual-heating-plants" TargetMode="External"/><Relationship Id="rId135" Type="http://schemas.openxmlformats.org/officeDocument/2006/relationships/hyperlink" Target="https://ens.dk/en/analyses-and-statistics/technology-data-individual-heating-plants" TargetMode="External"/><Relationship Id="rId13" Type="http://schemas.openxmlformats.org/officeDocument/2006/relationships/hyperlink" Target="https://vbn.aau.dk/en/publications/b70d844a-bf8e-483a-8895-9f90f1100262" TargetMode="External"/><Relationship Id="rId18" Type="http://schemas.openxmlformats.org/officeDocument/2006/relationships/hyperlink" Target="https://search.et.gr/el/fek/?fekId=551745" TargetMode="External"/><Relationship Id="rId39" Type="http://schemas.openxmlformats.org/officeDocument/2006/relationships/hyperlink" Target="https://flookstudio.pl/ocieplenie-poddasza-styropianem-czy-welna-kluczowe-roznice" TargetMode="External"/><Relationship Id="rId109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34" Type="http://schemas.openxmlformats.org/officeDocument/2006/relationships/hyperlink" Target="https://www.homedeal.nl/dakbedekking/dakrenovatie-kosten/" TargetMode="External"/><Relationship Id="rId50" Type="http://schemas.openxmlformats.org/officeDocument/2006/relationships/hyperlink" Target="https://obnovdom.sk/" TargetMode="External"/><Relationship Id="rId55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76" Type="http://schemas.openxmlformats.org/officeDocument/2006/relationships/hyperlink" Target="https://brigada.lv/buvdarbu-izmaksas/" TargetMode="External"/><Relationship Id="rId97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04" Type="http://schemas.openxmlformats.org/officeDocument/2006/relationships/hyperlink" Target="https://osber.ie/how-much-does-it-cost-to-insulate-a-house-in-ireland/" TargetMode="External"/><Relationship Id="rId120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25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1" Type="http://schemas.openxmlformats.org/officeDocument/2006/relationships/hyperlink" Target="https://ens.dk/en/analyses-and-statistics/technology-data-individual-heating-plants" TargetMode="External"/><Relationship Id="rId146" Type="http://schemas.openxmlformats.org/officeDocument/2006/relationships/table" Target="../tables/table1.xml"/><Relationship Id="rId7" Type="http://schemas.openxmlformats.org/officeDocument/2006/relationships/hyperlink" Target="https://www.cae-eco.fr/analyse-socio-economique-de-la-renovation-energetique-des-logements" TargetMode="External"/><Relationship Id="rId71" Type="http://schemas.openxmlformats.org/officeDocument/2006/relationships/hyperlink" Target="https://bdc.f-ive.es/" TargetMode="External"/><Relationship Id="rId92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2" Type="http://schemas.openxmlformats.org/officeDocument/2006/relationships/hyperlink" Target="http://dx.doi.org/10.1016/j.energy.2017.06.160" TargetMode="External"/><Relationship Id="rId29" Type="http://schemas.openxmlformats.org/officeDocument/2006/relationships/hyperlink" Target="https://ec.europa.eu/energy/sites/ener/files/documents/mapping-hc-final_report-wp2.pdf" TargetMode="External"/><Relationship Id="rId24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0" Type="http://schemas.openxmlformats.org/officeDocument/2006/relationships/hyperlink" Target="https://renowa24.pl/Ile-kosztuje-ocieplenie-domu-w-2024-roku-blog-pol-1636717079.html?srsltid=AfmBOor9-HoUzyxmsX79Hj5uPuuKqMXFj81It7xYNNbwK7tSprHIwsmc" TargetMode="External"/><Relationship Id="rId45" Type="http://schemas.openxmlformats.org/officeDocument/2006/relationships/hyperlink" Target="https://www.sk.weber/aka-je-cena-zateplenia-domu" TargetMode="External"/><Relationship Id="rId66" Type="http://schemas.openxmlformats.org/officeDocument/2006/relationships/hyperlink" Target="https://bdc.f-ive.es/" TargetMode="External"/><Relationship Id="rId87" Type="http://schemas.openxmlformats.org/officeDocument/2006/relationships/hyperlink" Target="https://myrenov.be/en/energy-renovation/insulation/walls/" TargetMode="External"/><Relationship Id="rId110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15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1" Type="http://schemas.openxmlformats.org/officeDocument/2006/relationships/hyperlink" Target="https://ens.dk/en/analyses-and-statistics/technology-data-individual-heating-plants" TargetMode="External"/><Relationship Id="rId136" Type="http://schemas.openxmlformats.org/officeDocument/2006/relationships/hyperlink" Target="https://ens.dk/en/analyses-and-statistics/technology-data-individual-heating-plants" TargetMode="External"/><Relationship Id="rId61" Type="http://schemas.openxmlformats.org/officeDocument/2006/relationships/hyperlink" Target="https://bdc.f-ive.es/" TargetMode="External"/><Relationship Id="rId82" Type="http://schemas.openxmlformats.org/officeDocument/2006/relationships/hyperlink" Target="https://www.daibau.ro/preturi/fatade_case" TargetMode="External"/><Relationship Id="rId19" Type="http://schemas.openxmlformats.org/officeDocument/2006/relationships/hyperlink" Target="https://www.auth.gr/wp-content/uploads/espa_kthniatrikh_2._timologio_1.pdf" TargetMode="External"/><Relationship Id="rId14" Type="http://schemas.openxmlformats.org/officeDocument/2006/relationships/hyperlink" Target="https://www.orestiada.gr/wp-content/uploads/2020/05/07a.TimologioEAKS.pdf" TargetMode="External"/><Relationship Id="rId30" Type="http://schemas.openxmlformats.org/officeDocument/2006/relationships/hyperlink" Target="https://www.gse.it/documenti_site/Documenti%20GSE/Studi%20e%20scenari/National%20Survey%20Report%20PV%20Italy%202022.pdf" TargetMode="External"/><Relationship Id="rId35" Type="http://schemas.openxmlformats.org/officeDocument/2006/relationships/hyperlink" Target="https://www.homedeal.nl/kozijnen/kozijnen-vervangen/" TargetMode="External"/><Relationship Id="rId56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77" Type="http://schemas.openxmlformats.org/officeDocument/2006/relationships/hyperlink" Target="https://brigada.lv/buvdarbu-izmaksas/" TargetMode="External"/><Relationship Id="rId100" Type="http://schemas.openxmlformats.org/officeDocument/2006/relationships/hyperlink" Target="https://view.officeapps.live.com/op/view.aspx?src=https%3A%2F%2Fapi.kww-halle.de%2Ffileadmin%2Fuser_upload%2FTechnikkatalog_W%25C3%25A4rmeplanung_Version_1.1_August24_CC-BY.xlsx&amp;wdOrigin=BROWSELINK" TargetMode="External"/><Relationship Id="rId105" Type="http://schemas.openxmlformats.org/officeDocument/2006/relationships/hyperlink" Target="https://www.window24.ie/window-prices/window-replacement-cost/" TargetMode="External"/><Relationship Id="rId126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7" Type="http://schemas.openxmlformats.org/officeDocument/2006/relationships/comments" Target="../comments1.xml"/><Relationship Id="rId8" Type="http://schemas.openxmlformats.org/officeDocument/2006/relationships/hyperlink" Target="https://vbn.aau.dk/en/publications/b70d844a-bf8e-483a-8895-9f90f1100262" TargetMode="External"/><Relationship Id="rId51" Type="http://schemas.openxmlformats.org/officeDocument/2006/relationships/hyperlink" Target="https://obnovdom.sk/" TargetMode="External"/><Relationship Id="rId72" Type="http://schemas.openxmlformats.org/officeDocument/2006/relationships/hyperlink" Target="https://bdc.f-ive.es/" TargetMode="External"/><Relationship Id="rId93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98" Type="http://schemas.openxmlformats.org/officeDocument/2006/relationships/hyperlink" Target="https://view.officeapps.live.com/op/view.aspx?src=https%3A%2F%2Fapi.kww-halle.de%2Ffileadmin%2Fuser_upload%2FTechnikkatalog_W%25C3%25A4rmeplanung_Version_1.1_August24_CC-BY.xlsx&amp;wdOrigin=BROWSELINK" TargetMode="External"/><Relationship Id="rId121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2" Type="http://schemas.openxmlformats.org/officeDocument/2006/relationships/hyperlink" Target="https://ens.dk/en/analyses-and-statistics/technology-data-individual-heating-plants" TargetMode="External"/><Relationship Id="rId3" Type="http://schemas.openxmlformats.org/officeDocument/2006/relationships/hyperlink" Target="https://www.cae-eco.fr/analyse-socio-economique-de-la-renovation-energetique-des-logements" TargetMode="External"/><Relationship Id="rId25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6" Type="http://schemas.openxmlformats.org/officeDocument/2006/relationships/hyperlink" Target="https://www.sk.weber/aka-je-cena-zateplenia-domu" TargetMode="External"/><Relationship Id="rId67" Type="http://schemas.openxmlformats.org/officeDocument/2006/relationships/hyperlink" Target="https://bdc.f-ive.es/" TargetMode="External"/><Relationship Id="rId116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7" Type="http://schemas.openxmlformats.org/officeDocument/2006/relationships/hyperlink" Target="https://ens.dk/en/analyses-and-statistics/technology-data-individual-heating-plants" TargetMode="External"/><Relationship Id="rId20" Type="http://schemas.openxmlformats.org/officeDocument/2006/relationships/hyperlink" Target="https://thessaloniki.gr/wp-content/uploads/2021/05/2021-077_%CE%A4%CE%99%CE%9C%CE%9F%CE%9B%CE%9F%CE%93%CE%99%CE%9F-%CE%9C%CE%95%CE%9B%CE%95%CE%A4%CE%97%CE%A3.pdf" TargetMode="External"/><Relationship Id="rId41" Type="http://schemas.openxmlformats.org/officeDocument/2006/relationships/hyperlink" Target="https://polreff.org/poradnik/wymiana-okien-i-drzwi/" TargetMode="External"/><Relationship Id="rId62" Type="http://schemas.openxmlformats.org/officeDocument/2006/relationships/hyperlink" Target="https://bdc.f-ive.es/" TargetMode="External"/><Relationship Id="rId83" Type="http://schemas.openxmlformats.org/officeDocument/2006/relationships/hyperlink" Target="https://www.daibau.ro/preturi/fatade_case" TargetMode="External"/><Relationship Id="rId88" Type="http://schemas.openxmlformats.org/officeDocument/2006/relationships/hyperlink" Target="https://myrenov.be/en/energy-renovation/insulation/roof/" TargetMode="External"/><Relationship Id="rId111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2" Type="http://schemas.openxmlformats.org/officeDocument/2006/relationships/hyperlink" Target="https://ens.dk/en/analyses-and-statistics/technology-data-individual-heating-plants" TargetMode="External"/><Relationship Id="rId15" Type="http://schemas.openxmlformats.org/officeDocument/2006/relationships/hyperlink" Target="http://www.kenak.gr/files/TOTEE_20701-2_2017.pdf" TargetMode="External"/><Relationship Id="rId36" Type="http://schemas.openxmlformats.org/officeDocument/2006/relationships/hyperlink" Target="https://studenttheses.uu.nl/bitstream/handle/20.500.12932/37656/Thesis_G.W.J.PIET_20-08-2020.pdf?sequence=1" TargetMode="External"/><Relationship Id="rId57" Type="http://schemas.openxmlformats.org/officeDocument/2006/relationships/hyperlink" Target="https://bdc.f-ive.es/" TargetMode="External"/><Relationship Id="rId106" Type="http://schemas.openxmlformats.org/officeDocument/2006/relationships/hyperlink" Target="https://dublin-gasboilers.ie/gas-boiler-replacement-dublin/" TargetMode="External"/><Relationship Id="rId127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0" Type="http://schemas.openxmlformats.org/officeDocument/2006/relationships/hyperlink" Target="https://ens.dk/en/analyses-and-statistics/technology-data-individual-heating-plants" TargetMode="External"/><Relationship Id="rId31" Type="http://schemas.openxmlformats.org/officeDocument/2006/relationships/hyperlink" Target="https://ec.europa.eu/energy/sites/ener/files/documents/mapping-hc-final_report-wp2.pdf" TargetMode="External"/><Relationship Id="rId52" Type="http://schemas.openxmlformats.org/officeDocument/2006/relationships/hyperlink" Target="https://obnovdom.sk/" TargetMode="External"/><Relationship Id="rId73" Type="http://schemas.openxmlformats.org/officeDocument/2006/relationships/hyperlink" Target="https://www.daibau.bg/ceni/izolatsiya_na_mansarda" TargetMode="External"/><Relationship Id="rId78" Type="http://schemas.openxmlformats.org/officeDocument/2006/relationships/hyperlink" Target="https://doi.org/10.1016/j.scs.2017.04.009" TargetMode="External"/><Relationship Id="rId94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99" Type="http://schemas.openxmlformats.org/officeDocument/2006/relationships/hyperlink" Target="https://view.officeapps.live.com/op/view.aspx?src=https%3A%2F%2Fapi.kww-halle.de%2Ffileadmin%2Fuser_upload%2FTechnikkatalog_W%25C3%25A4rmeplanung_Version_1.1_August24_CC-BY.xlsx&amp;wdOrigin=BROWSELINK" TargetMode="External"/><Relationship Id="rId101" Type="http://schemas.openxmlformats.org/officeDocument/2006/relationships/hyperlink" Target="https://buildpro.ie/blog/cost-to-insulate-house-ireland" TargetMode="External"/><Relationship Id="rId122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3" Type="http://schemas.openxmlformats.org/officeDocument/2006/relationships/hyperlink" Target="https://ens.dk/en/analyses-and-statistics/technology-data-individual-heating-plants" TargetMode="External"/><Relationship Id="rId148" Type="http://schemas.microsoft.com/office/2019/04/relationships/namedSheetView" Target="../namedSheetViews/namedSheetView1.xml"/><Relationship Id="rId4" Type="http://schemas.openxmlformats.org/officeDocument/2006/relationships/hyperlink" Target="https://www.cae-eco.fr/analyse-socio-economique-de-la-renovation-energetique-des-logements" TargetMode="External"/><Relationship Id="rId9" Type="http://schemas.openxmlformats.org/officeDocument/2006/relationships/hyperlink" Target="https://byggefokus.dk/isolering-af-tag/" TargetMode="External"/><Relationship Id="rId26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7" Type="http://schemas.openxmlformats.org/officeDocument/2006/relationships/hyperlink" Target="https://obnovdom.sk/" TargetMode="External"/><Relationship Id="rId68" Type="http://schemas.openxmlformats.org/officeDocument/2006/relationships/hyperlink" Target="https://bdc.f-ive.es/" TargetMode="External"/><Relationship Id="rId89" Type="http://schemas.openxmlformats.org/officeDocument/2006/relationships/hyperlink" Target="https://myrenov.be/en/energy-renovation/insulation/floor/" TargetMode="External"/><Relationship Id="rId112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3" Type="http://schemas.openxmlformats.org/officeDocument/2006/relationships/hyperlink" Target="https://ens.dk/en/analyses-and-statistics/technology-data-individual-heating-plants" TargetMode="External"/><Relationship Id="rId16" Type="http://schemas.openxmlformats.org/officeDocument/2006/relationships/hyperlink" Target="https://search.et.gr/el/fek/?fekId=551745" TargetMode="External"/><Relationship Id="rId37" Type="http://schemas.openxmlformats.org/officeDocument/2006/relationships/hyperlink" Target="https://studenttheses.uu.nl/bitstream/handle/20.500.12932/37656/Thesis_G.W.J.PIET_20-08-2020.pdf?sequence=1" TargetMode="External"/><Relationship Id="rId58" Type="http://schemas.openxmlformats.org/officeDocument/2006/relationships/hyperlink" Target="https://bdc.f-ive.es/" TargetMode="External"/><Relationship Id="rId79" Type="http://schemas.openxmlformats.org/officeDocument/2006/relationships/hyperlink" Target="https://urakkadiili.fi/mokin-lattian-eristys-hinta" TargetMode="External"/><Relationship Id="rId102" Type="http://schemas.openxmlformats.org/officeDocument/2006/relationships/hyperlink" Target="https://osber.ie/how-much-does-it-cost-to-insulate-a-house-in-ireland/" TargetMode="External"/><Relationship Id="rId123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4" Type="http://schemas.openxmlformats.org/officeDocument/2006/relationships/hyperlink" Target="https://multimedia.lecho.be/immobilier-construction-renovation-prix-materiau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1E96-D709-4636-9CD5-71AC22FA2195}">
  <dimension ref="A1:Q325"/>
  <sheetViews>
    <sheetView tabSelected="1" topLeftCell="B266" zoomScale="120" zoomScaleNormal="120" workbookViewId="0">
      <pane xSplit="1" topLeftCell="C1" activePane="topRight" state="frozen"/>
      <selection activeCell="B1" sqref="B1"/>
      <selection pane="topRight" activeCell="H291" sqref="H291"/>
    </sheetView>
  </sheetViews>
  <sheetFormatPr baseColWidth="10" defaultColWidth="8.5" defaultRowHeight="15" x14ac:dyDescent="0.2"/>
  <cols>
    <col min="1" max="1" width="4.1640625" style="1" bestFit="1" customWidth="1"/>
    <col min="2" max="2" width="12.5" style="1" bestFit="1" customWidth="1"/>
    <col min="3" max="3" width="10.1640625" style="1" bestFit="1" customWidth="1"/>
    <col min="4" max="4" width="25.1640625" style="1" bestFit="1" customWidth="1"/>
    <col min="5" max="5" width="10.1640625" style="1" bestFit="1" customWidth="1"/>
    <col min="6" max="6" width="16.5" style="1" bestFit="1" customWidth="1"/>
    <col min="7" max="7" width="10" style="1" bestFit="1" customWidth="1"/>
    <col min="8" max="8" width="13.5" style="1" bestFit="1" customWidth="1"/>
    <col min="9" max="9" width="13.1640625" style="1" bestFit="1" customWidth="1"/>
    <col min="10" max="10" width="11.5" style="1" customWidth="1"/>
    <col min="11" max="11" width="13.1640625" style="2" bestFit="1" customWidth="1"/>
    <col min="12" max="12" width="13.83203125" style="2" bestFit="1" customWidth="1"/>
    <col min="13" max="13" width="11.83203125" style="5" bestFit="1" customWidth="1"/>
    <col min="14" max="14" width="13.83203125" style="1" bestFit="1" customWidth="1"/>
    <col min="15" max="15" width="35.83203125" style="1" customWidth="1"/>
    <col min="16" max="16" width="26.6640625" style="1" customWidth="1"/>
    <col min="17" max="17" width="5.5" style="1" bestFit="1" customWidth="1"/>
    <col min="18" max="16384" width="8.5" style="1"/>
  </cols>
  <sheetData>
    <row r="1" spans="1:17" ht="48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4"/>
    </row>
    <row r="2" spans="1:17" x14ac:dyDescent="0.2">
      <c r="A2">
        <v>1</v>
      </c>
      <c r="B2" t="s">
        <v>16</v>
      </c>
      <c r="C2" s="8" t="s">
        <v>17</v>
      </c>
      <c r="D2" s="8" t="s">
        <v>18</v>
      </c>
      <c r="F2" s="1">
        <v>16</v>
      </c>
      <c r="G2" s="1">
        <v>3.7999999999999999E-2</v>
      </c>
      <c r="K2" s="3"/>
      <c r="L2" s="3">
        <v>154.31</v>
      </c>
      <c r="M2" s="1"/>
      <c r="N2" s="9">
        <f>IFERROR(Table1[[#This Row],[Price '[€']]]/Table1[[#This Row],[Power '[kW']]],)</f>
        <v>0</v>
      </c>
      <c r="O2" s="1" t="s">
        <v>210</v>
      </c>
      <c r="Q2" s="4"/>
    </row>
    <row r="3" spans="1:17" x14ac:dyDescent="0.2">
      <c r="A3">
        <v>1</v>
      </c>
      <c r="B3" t="s">
        <v>16</v>
      </c>
      <c r="C3" s="8" t="s">
        <v>17</v>
      </c>
      <c r="D3" s="8" t="s">
        <v>20</v>
      </c>
      <c r="F3" s="1">
        <v>2</v>
      </c>
      <c r="G3" s="1">
        <v>3.7999999999999999E-2</v>
      </c>
      <c r="K3" s="3"/>
      <c r="L3" s="3">
        <v>3.81</v>
      </c>
      <c r="M3" s="1"/>
      <c r="N3" s="9">
        <f>IFERROR(Table1[[#This Row],[Price '[€']]]/Table1[[#This Row],[Power '[kW']]],)</f>
        <v>0</v>
      </c>
      <c r="O3" s="1" t="s">
        <v>210</v>
      </c>
      <c r="Q3" s="4"/>
    </row>
    <row r="4" spans="1:17" x14ac:dyDescent="0.2">
      <c r="A4">
        <v>1</v>
      </c>
      <c r="B4" t="s">
        <v>16</v>
      </c>
      <c r="C4" s="8" t="s">
        <v>17</v>
      </c>
      <c r="D4" s="8" t="s">
        <v>22</v>
      </c>
      <c r="F4" s="1">
        <v>16</v>
      </c>
      <c r="G4" s="1">
        <v>3.7999999999999999E-2</v>
      </c>
      <c r="K4" s="3"/>
      <c r="L4" s="3">
        <v>277.94</v>
      </c>
      <c r="M4" s="1"/>
      <c r="N4" s="9">
        <f>IFERROR(Table1[[#This Row],[Price '[€']]]/Table1[[#This Row],[Power '[kW']]],)</f>
        <v>0</v>
      </c>
      <c r="O4" s="1" t="s">
        <v>210</v>
      </c>
      <c r="Q4" s="4"/>
    </row>
    <row r="5" spans="1:17" x14ac:dyDescent="0.2">
      <c r="A5">
        <v>1</v>
      </c>
      <c r="B5" t="s">
        <v>16</v>
      </c>
      <c r="C5" s="8" t="s">
        <v>17</v>
      </c>
      <c r="D5" s="8" t="s">
        <v>24</v>
      </c>
      <c r="F5" s="1">
        <v>16</v>
      </c>
      <c r="G5" s="1">
        <v>3.7999999999999999E-2</v>
      </c>
      <c r="K5" s="3"/>
      <c r="L5" s="3">
        <v>238.29</v>
      </c>
      <c r="M5" s="1"/>
      <c r="N5" s="9">
        <f>IFERROR(Table1[[#This Row],[Price '[€']]]/Table1[[#This Row],[Power '[kW']]],)</f>
        <v>0</v>
      </c>
      <c r="O5" s="1" t="s">
        <v>210</v>
      </c>
      <c r="Q5" s="4"/>
    </row>
    <row r="6" spans="1:17" x14ac:dyDescent="0.2">
      <c r="A6">
        <v>1</v>
      </c>
      <c r="B6" t="s">
        <v>16</v>
      </c>
      <c r="C6" s="8" t="s">
        <v>17</v>
      </c>
      <c r="D6" s="8" t="s">
        <v>23</v>
      </c>
      <c r="F6" s="1">
        <v>10</v>
      </c>
      <c r="G6" s="1">
        <v>3.7999999999999999E-2</v>
      </c>
      <c r="K6" s="3"/>
      <c r="L6" s="3">
        <v>69.290000000000006</v>
      </c>
      <c r="M6" s="1"/>
      <c r="N6" s="9">
        <f>IFERROR(Table1[[#This Row],[Price '[€']]]/Table1[[#This Row],[Power '[kW']]],)</f>
        <v>0</v>
      </c>
      <c r="O6" s="1" t="s">
        <v>210</v>
      </c>
      <c r="Q6" s="4"/>
    </row>
    <row r="7" spans="1:17" x14ac:dyDescent="0.2">
      <c r="A7">
        <v>1</v>
      </c>
      <c r="B7" t="s">
        <v>16</v>
      </c>
      <c r="C7" s="8" t="s">
        <v>17</v>
      </c>
      <c r="D7" s="8" t="s">
        <v>26</v>
      </c>
      <c r="H7" s="1">
        <v>1.1000000000000001</v>
      </c>
      <c r="K7" s="3"/>
      <c r="L7" s="3">
        <v>505.77</v>
      </c>
      <c r="M7" s="1"/>
      <c r="N7" s="9">
        <f>IFERROR(Table1[[#This Row],[Price '[€']]]/Table1[[#This Row],[Power '[kW']]],)</f>
        <v>0</v>
      </c>
      <c r="O7" s="1" t="s">
        <v>210</v>
      </c>
      <c r="Q7" s="4"/>
    </row>
    <row r="8" spans="1:17" x14ac:dyDescent="0.2">
      <c r="A8">
        <v>1</v>
      </c>
      <c r="B8" t="s">
        <v>16</v>
      </c>
      <c r="C8" s="8" t="s">
        <v>17</v>
      </c>
      <c r="D8" s="8" t="s">
        <v>19</v>
      </c>
      <c r="I8" s="1">
        <v>7</v>
      </c>
      <c r="K8" s="3"/>
      <c r="L8" s="3"/>
      <c r="M8" s="10">
        <v>12193.37</v>
      </c>
      <c r="N8" s="9">
        <f>IFERROR(Table1[[#This Row],[Price '[€']]]/Table1[[#This Row],[Power '[kW']]],)</f>
        <v>1741.91</v>
      </c>
      <c r="O8" s="1" t="s">
        <v>27</v>
      </c>
      <c r="P8" s="11" t="s">
        <v>28</v>
      </c>
      <c r="Q8" s="4"/>
    </row>
    <row r="9" spans="1:17" x14ac:dyDescent="0.2">
      <c r="A9">
        <v>1</v>
      </c>
      <c r="B9" t="s">
        <v>16</v>
      </c>
      <c r="C9" s="8" t="s">
        <v>17</v>
      </c>
      <c r="D9" s="8" t="s">
        <v>21</v>
      </c>
      <c r="I9" s="1">
        <v>14</v>
      </c>
      <c r="K9" s="3"/>
      <c r="L9" s="3"/>
      <c r="M9" s="10">
        <v>4122.8599999999997</v>
      </c>
      <c r="N9" s="9">
        <f>IFERROR(Table1[[#This Row],[Price '[€']]]/Table1[[#This Row],[Power '[kW']]],)</f>
        <v>294.48999999999995</v>
      </c>
      <c r="O9" s="1" t="s">
        <v>27</v>
      </c>
      <c r="P9" s="1" t="s">
        <v>28</v>
      </c>
      <c r="Q9" s="4"/>
    </row>
    <row r="10" spans="1:17" x14ac:dyDescent="0.2">
      <c r="A10">
        <v>1</v>
      </c>
      <c r="B10" t="s">
        <v>16</v>
      </c>
      <c r="C10" s="8" t="s">
        <v>17</v>
      </c>
      <c r="D10" s="8" t="s">
        <v>25</v>
      </c>
      <c r="K10" s="3"/>
      <c r="L10" s="3"/>
      <c r="M10" s="1"/>
      <c r="N10" s="9">
        <v>1540</v>
      </c>
      <c r="O10" s="1" t="s">
        <v>30</v>
      </c>
      <c r="P10" s="12" t="s">
        <v>31</v>
      </c>
      <c r="Q10" s="4"/>
    </row>
    <row r="11" spans="1:17" x14ac:dyDescent="0.2">
      <c r="A11">
        <v>1</v>
      </c>
      <c r="B11" t="s">
        <v>16</v>
      </c>
      <c r="C11" s="8" t="s">
        <v>17</v>
      </c>
      <c r="D11" s="1" t="s">
        <v>29</v>
      </c>
      <c r="I11" s="1">
        <v>4.2</v>
      </c>
      <c r="K11" s="3"/>
      <c r="L11" s="3"/>
      <c r="M11" s="10">
        <v>2913.8429721030707</v>
      </c>
      <c r="N11" s="9">
        <f>IFERROR(Table1[[#This Row],[Price '[€']]]/Table1[[#This Row],[Power '[kW']]],)</f>
        <v>693.77213621501676</v>
      </c>
      <c r="O11" s="1" t="s">
        <v>27</v>
      </c>
      <c r="P11" s="1" t="s">
        <v>28</v>
      </c>
      <c r="Q11" s="4"/>
    </row>
    <row r="12" spans="1:17" x14ac:dyDescent="0.2">
      <c r="A12">
        <v>2</v>
      </c>
      <c r="B12" t="s">
        <v>32</v>
      </c>
      <c r="C12" s="8" t="s">
        <v>17</v>
      </c>
      <c r="D12" s="1" t="s">
        <v>18</v>
      </c>
      <c r="E12" s="1" t="s">
        <v>33</v>
      </c>
      <c r="F12" s="1">
        <v>20</v>
      </c>
      <c r="G12" s="1">
        <v>3.7999999999999999E-2</v>
      </c>
      <c r="K12" s="1"/>
      <c r="L12" s="3">
        <v>160</v>
      </c>
      <c r="M12" s="3"/>
      <c r="N12" s="3">
        <f>IFERROR(Table1[[#This Row],[Price '[€']]]/Table1[[#This Row],[Power '[kW']]],)</f>
        <v>0</v>
      </c>
      <c r="O12" t="s">
        <v>34</v>
      </c>
      <c r="P12" s="13" t="s">
        <v>35</v>
      </c>
      <c r="Q12" s="4"/>
    </row>
    <row r="13" spans="1:17" x14ac:dyDescent="0.2">
      <c r="A13">
        <v>2</v>
      </c>
      <c r="B13" t="s">
        <v>32</v>
      </c>
      <c r="C13" s="8" t="s">
        <v>17</v>
      </c>
      <c r="D13" s="1" t="s">
        <v>20</v>
      </c>
      <c r="E13" s="1" t="s">
        <v>33</v>
      </c>
      <c r="F13" s="1">
        <v>20</v>
      </c>
      <c r="G13" s="1">
        <v>3.7999999999999999E-2</v>
      </c>
      <c r="K13" s="1"/>
      <c r="L13" s="3">
        <v>37.83</v>
      </c>
      <c r="M13" s="3"/>
      <c r="N13" s="3">
        <f>IFERROR(Table1[[#This Row],[Price '[€']]]/Table1[[#This Row],[Power '[kW']]],)</f>
        <v>0</v>
      </c>
      <c r="O13" t="s">
        <v>36</v>
      </c>
      <c r="P13" s="13" t="s">
        <v>37</v>
      </c>
      <c r="Q13" s="4"/>
    </row>
    <row r="14" spans="1:17" x14ac:dyDescent="0.2">
      <c r="A14">
        <v>2</v>
      </c>
      <c r="B14" t="s">
        <v>32</v>
      </c>
      <c r="C14" s="8" t="s">
        <v>17</v>
      </c>
      <c r="D14" s="1" t="s">
        <v>22</v>
      </c>
      <c r="E14" s="1" t="s">
        <v>38</v>
      </c>
      <c r="F14" s="1">
        <v>20</v>
      </c>
      <c r="G14" s="1">
        <v>3.7999999999999999E-2</v>
      </c>
      <c r="K14" s="1"/>
      <c r="L14" s="3">
        <v>50</v>
      </c>
      <c r="M14" s="3"/>
      <c r="N14" s="3">
        <f>IFERROR(Table1[[#This Row],[Price '[€']]]/Table1[[#This Row],[Power '[kW']]],)</f>
        <v>0</v>
      </c>
      <c r="O14" s="1" t="s">
        <v>39</v>
      </c>
      <c r="P14" s="13" t="s">
        <v>40</v>
      </c>
      <c r="Q14" s="4"/>
    </row>
    <row r="15" spans="1:17" x14ac:dyDescent="0.2">
      <c r="A15">
        <v>2</v>
      </c>
      <c r="B15" t="s">
        <v>32</v>
      </c>
      <c r="C15" s="8" t="s">
        <v>17</v>
      </c>
      <c r="D15" s="1" t="s">
        <v>24</v>
      </c>
      <c r="E15" s="1" t="s">
        <v>33</v>
      </c>
      <c r="F15" s="1">
        <v>20</v>
      </c>
      <c r="G15" s="1">
        <v>3.7999999999999999E-2</v>
      </c>
      <c r="K15" s="1"/>
      <c r="L15" s="3">
        <v>120</v>
      </c>
      <c r="M15" s="3"/>
      <c r="N15" s="3">
        <f>IFERROR(Table1[[#This Row],[Price '[€']]]/Table1[[#This Row],[Power '[kW']]],)</f>
        <v>0</v>
      </c>
      <c r="O15" s="1" t="s">
        <v>39</v>
      </c>
      <c r="P15" s="13" t="s">
        <v>40</v>
      </c>
      <c r="Q15" s="4"/>
    </row>
    <row r="16" spans="1:17" x14ac:dyDescent="0.2">
      <c r="A16">
        <v>2</v>
      </c>
      <c r="B16" t="s">
        <v>32</v>
      </c>
      <c r="C16" s="8" t="s">
        <v>17</v>
      </c>
      <c r="D16" s="1" t="s">
        <v>23</v>
      </c>
      <c r="E16" s="1" t="s">
        <v>33</v>
      </c>
      <c r="F16" s="1">
        <v>15</v>
      </c>
      <c r="G16" s="1">
        <v>3.7999999999999999E-2</v>
      </c>
      <c r="K16" s="1"/>
      <c r="L16" s="3"/>
      <c r="M16" s="3"/>
      <c r="N16" s="3">
        <f>IFERROR(Table1[[#This Row],[Price '[€']]]/Table1[[#This Row],[Power '[kW']]],)</f>
        <v>0</v>
      </c>
      <c r="O16" s="1" t="s">
        <v>41</v>
      </c>
      <c r="P16" s="13" t="s">
        <v>42</v>
      </c>
      <c r="Q16" s="4"/>
    </row>
    <row r="17" spans="1:17" x14ac:dyDescent="0.2">
      <c r="A17">
        <v>2</v>
      </c>
      <c r="B17" t="s">
        <v>32</v>
      </c>
      <c r="C17" s="8" t="s">
        <v>17</v>
      </c>
      <c r="D17" s="1" t="s">
        <v>26</v>
      </c>
      <c r="E17" s="1" t="s">
        <v>43</v>
      </c>
      <c r="H17" s="1">
        <v>1.2</v>
      </c>
      <c r="K17" s="1"/>
      <c r="L17" s="3">
        <v>450</v>
      </c>
      <c r="M17" s="3"/>
      <c r="N17" s="3">
        <f>IFERROR(Table1[[#This Row],[Price '[€']]]/Table1[[#This Row],[Power '[kW']]],)</f>
        <v>0</v>
      </c>
      <c r="O17" t="s">
        <v>34</v>
      </c>
      <c r="P17" s="13" t="s">
        <v>35</v>
      </c>
      <c r="Q17" s="4"/>
    </row>
    <row r="18" spans="1:17" x14ac:dyDescent="0.2">
      <c r="A18">
        <v>2</v>
      </c>
      <c r="B18" t="s">
        <v>32</v>
      </c>
      <c r="C18" s="8" t="s">
        <v>17</v>
      </c>
      <c r="D18" s="1" t="s">
        <v>19</v>
      </c>
      <c r="I18" s="1">
        <v>9</v>
      </c>
      <c r="K18" s="1"/>
      <c r="L18" s="3"/>
      <c r="M18" s="3">
        <v>11000</v>
      </c>
      <c r="N18" s="3">
        <f>IFERROR(Table1[[#This Row],[Price '[€']]]/Table1[[#This Row],[Power '[kW']]],)</f>
        <v>1222.2222222222222</v>
      </c>
      <c r="O18" s="1" t="s">
        <v>44</v>
      </c>
      <c r="P18" s="13" t="s">
        <v>45</v>
      </c>
      <c r="Q18" s="4"/>
    </row>
    <row r="19" spans="1:17" x14ac:dyDescent="0.2">
      <c r="A19">
        <v>2</v>
      </c>
      <c r="B19" t="s">
        <v>32</v>
      </c>
      <c r="C19" s="8" t="s">
        <v>17</v>
      </c>
      <c r="D19" s="1" t="s">
        <v>21</v>
      </c>
      <c r="I19" s="1">
        <v>14</v>
      </c>
      <c r="K19" s="1"/>
      <c r="L19" s="3"/>
      <c r="M19" s="3">
        <v>4226.22</v>
      </c>
      <c r="N19" s="3">
        <f>IFERROR(Table1[[#This Row],[Price '[€']]]/Table1[[#This Row],[Power '[kW']]],)</f>
        <v>301.87285714285719</v>
      </c>
      <c r="O19" s="1" t="s">
        <v>27</v>
      </c>
      <c r="P19" s="1" t="s">
        <v>28</v>
      </c>
      <c r="Q19" s="4"/>
    </row>
    <row r="20" spans="1:17" x14ac:dyDescent="0.2">
      <c r="A20">
        <v>2</v>
      </c>
      <c r="B20" t="s">
        <v>32</v>
      </c>
      <c r="C20" s="8" t="s">
        <v>17</v>
      </c>
      <c r="D20" s="1" t="s">
        <v>25</v>
      </c>
      <c r="K20" s="1"/>
      <c r="L20" s="3"/>
      <c r="M20" s="3"/>
      <c r="N20" s="3">
        <v>1320</v>
      </c>
      <c r="O20" s="1" t="s">
        <v>30</v>
      </c>
      <c r="P20" s="12" t="s">
        <v>31</v>
      </c>
      <c r="Q20" s="4"/>
    </row>
    <row r="21" spans="1:17" x14ac:dyDescent="0.2">
      <c r="A21">
        <v>2</v>
      </c>
      <c r="B21" t="s">
        <v>32</v>
      </c>
      <c r="C21" s="1" t="s">
        <v>17</v>
      </c>
      <c r="D21" s="1" t="s">
        <v>29</v>
      </c>
      <c r="I21" s="1">
        <v>4.2</v>
      </c>
      <c r="K21" s="1"/>
      <c r="L21" s="1"/>
      <c r="M21" s="3">
        <v>3014.98</v>
      </c>
      <c r="N21" s="3">
        <f>IFERROR(Table1[[#This Row],[Price '[€']]]/Table1[[#This Row],[Power '[kW']]],)</f>
        <v>717.85238095238094</v>
      </c>
      <c r="O21" s="1" t="s">
        <v>27</v>
      </c>
      <c r="P21" s="1" t="s">
        <v>28</v>
      </c>
      <c r="Q21" s="4"/>
    </row>
    <row r="22" spans="1:17" x14ac:dyDescent="0.2">
      <c r="A22">
        <v>3</v>
      </c>
      <c r="B22" t="s">
        <v>46</v>
      </c>
      <c r="C22" s="1" t="s">
        <v>17</v>
      </c>
      <c r="D22" s="1" t="s">
        <v>18</v>
      </c>
      <c r="E22" s="1" t="s">
        <v>33</v>
      </c>
      <c r="F22" s="1">
        <v>8</v>
      </c>
      <c r="G22" s="1">
        <v>3.7999999999999999E-2</v>
      </c>
      <c r="K22" s="3"/>
      <c r="L22" s="3">
        <v>55</v>
      </c>
      <c r="M22" s="3"/>
      <c r="N22" s="3">
        <f>IFERROR(Table1[[#This Row],[Price '[€']]]/Table1[[#This Row],[Power '[kW']]],)</f>
        <v>0</v>
      </c>
      <c r="O22" s="1" t="s">
        <v>47</v>
      </c>
      <c r="P22" s="1" t="s">
        <v>48</v>
      </c>
      <c r="Q22" s="4"/>
    </row>
    <row r="23" spans="1:17" x14ac:dyDescent="0.2">
      <c r="A23">
        <v>3</v>
      </c>
      <c r="B23" t="s">
        <v>46</v>
      </c>
      <c r="C23" s="1" t="s">
        <v>17</v>
      </c>
      <c r="D23" s="1" t="s">
        <v>20</v>
      </c>
      <c r="K23" s="1"/>
      <c r="L23" s="3"/>
      <c r="M23" s="3"/>
      <c r="N23" s="3">
        <f>IFERROR(Table1[[#This Row],[Price '[€']]]/Table1[[#This Row],[Power '[kW']]],)</f>
        <v>0</v>
      </c>
      <c r="O23" s="1" t="s">
        <v>207</v>
      </c>
      <c r="Q23" s="4"/>
    </row>
    <row r="24" spans="1:17" x14ac:dyDescent="0.2">
      <c r="A24">
        <v>3</v>
      </c>
      <c r="B24" t="s">
        <v>46</v>
      </c>
      <c r="C24" s="1" t="s">
        <v>17</v>
      </c>
      <c r="D24" s="1" t="s">
        <v>22</v>
      </c>
      <c r="E24" s="1" t="s">
        <v>38</v>
      </c>
      <c r="F24" s="1">
        <v>30</v>
      </c>
      <c r="G24" s="1">
        <v>0.03</v>
      </c>
      <c r="K24" s="1"/>
      <c r="L24" s="3">
        <v>23</v>
      </c>
      <c r="M24" s="3"/>
      <c r="N24" s="3">
        <f>IFERROR(Table1[[#This Row],[Price '[€']]]/Table1[[#This Row],[Power '[kW']]],)</f>
        <v>0</v>
      </c>
      <c r="O24" s="1" t="s">
        <v>49</v>
      </c>
      <c r="P24" s="13" t="s">
        <v>50</v>
      </c>
      <c r="Q24" s="4"/>
    </row>
    <row r="25" spans="1:17" x14ac:dyDescent="0.2">
      <c r="A25">
        <v>3</v>
      </c>
      <c r="B25" t="s">
        <v>46</v>
      </c>
      <c r="C25" s="1" t="s">
        <v>17</v>
      </c>
      <c r="D25" s="1" t="s">
        <v>24</v>
      </c>
      <c r="K25" s="1"/>
      <c r="L25" s="3"/>
      <c r="M25" s="3"/>
      <c r="N25" s="3">
        <f>IFERROR(Table1[[#This Row],[Price '[€']]]/Table1[[#This Row],[Power '[kW']]],)</f>
        <v>0</v>
      </c>
      <c r="O25" s="1" t="s">
        <v>207</v>
      </c>
      <c r="Q25" s="4"/>
    </row>
    <row r="26" spans="1:17" x14ac:dyDescent="0.2">
      <c r="A26">
        <v>3</v>
      </c>
      <c r="B26" t="s">
        <v>46</v>
      </c>
      <c r="C26" s="1" t="s">
        <v>17</v>
      </c>
      <c r="D26" s="1" t="s">
        <v>23</v>
      </c>
      <c r="E26" s="1" t="s">
        <v>51</v>
      </c>
      <c r="F26" s="1">
        <v>10</v>
      </c>
      <c r="G26" s="1">
        <v>0.03</v>
      </c>
      <c r="K26" s="1"/>
      <c r="L26" s="3">
        <v>71</v>
      </c>
      <c r="M26" s="3"/>
      <c r="N26" s="3">
        <f>IFERROR(Table1[[#This Row],[Price '[€']]]/Table1[[#This Row],[Power '[kW']]],)</f>
        <v>0</v>
      </c>
      <c r="O26" s="1" t="s">
        <v>207</v>
      </c>
      <c r="Q26" s="4"/>
    </row>
    <row r="27" spans="1:17" x14ac:dyDescent="0.2">
      <c r="A27">
        <v>3</v>
      </c>
      <c r="B27" t="s">
        <v>46</v>
      </c>
      <c r="C27" s="1" t="s">
        <v>17</v>
      </c>
      <c r="D27" s="1" t="s">
        <v>26</v>
      </c>
      <c r="H27" s="1">
        <v>1.5</v>
      </c>
      <c r="K27" s="1"/>
      <c r="L27" s="3">
        <v>116.58</v>
      </c>
      <c r="M27" s="3"/>
      <c r="N27" s="3">
        <f>IFERROR(Table1[[#This Row],[Price '[€']]]/Table1[[#This Row],[Power '[kW']]],)</f>
        <v>0</v>
      </c>
      <c r="O27" s="1" t="s">
        <v>207</v>
      </c>
      <c r="Q27" s="4"/>
    </row>
    <row r="28" spans="1:17" x14ac:dyDescent="0.2">
      <c r="A28">
        <v>3</v>
      </c>
      <c r="B28" t="s">
        <v>46</v>
      </c>
      <c r="C28" s="1" t="s">
        <v>17</v>
      </c>
      <c r="D28" s="1" t="s">
        <v>19</v>
      </c>
      <c r="I28" s="1">
        <v>7</v>
      </c>
      <c r="K28" s="1"/>
      <c r="L28" s="3"/>
      <c r="M28" s="3">
        <v>9025.35</v>
      </c>
      <c r="N28" s="3">
        <f>IFERROR(Table1[[#This Row],[Price '[€']]]/Table1[[#This Row],[Power '[kW']]],)</f>
        <v>1289.3357142857144</v>
      </c>
      <c r="O28" s="1" t="s">
        <v>27</v>
      </c>
      <c r="P28" s="11" t="s">
        <v>28</v>
      </c>
      <c r="Q28" s="4"/>
    </row>
    <row r="29" spans="1:17" x14ac:dyDescent="0.2">
      <c r="A29">
        <v>3</v>
      </c>
      <c r="B29" t="s">
        <v>46</v>
      </c>
      <c r="C29" s="1" t="s">
        <v>17</v>
      </c>
      <c r="D29" s="1" t="s">
        <v>21</v>
      </c>
      <c r="I29" s="1">
        <v>14</v>
      </c>
      <c r="K29" s="1"/>
      <c r="L29" s="3"/>
      <c r="M29" s="3">
        <v>3051.68</v>
      </c>
      <c r="N29" s="3">
        <f>IFERROR(Table1[[#This Row],[Price '[€']]]/Table1[[#This Row],[Power '[kW']]],)</f>
        <v>217.97714285714284</v>
      </c>
      <c r="O29" s="1" t="s">
        <v>27</v>
      </c>
      <c r="P29" s="1" t="s">
        <v>28</v>
      </c>
      <c r="Q29" s="4"/>
    </row>
    <row r="30" spans="1:17" x14ac:dyDescent="0.2">
      <c r="A30">
        <v>3</v>
      </c>
      <c r="B30" t="s">
        <v>46</v>
      </c>
      <c r="C30" s="1" t="s">
        <v>17</v>
      </c>
      <c r="D30" s="1" t="s">
        <v>25</v>
      </c>
      <c r="K30" s="1"/>
      <c r="L30" s="3"/>
      <c r="M30" s="3"/>
      <c r="N30" s="3">
        <v>1110</v>
      </c>
      <c r="O30" s="1" t="s">
        <v>30</v>
      </c>
      <c r="P30" s="12" t="s">
        <v>31</v>
      </c>
      <c r="Q30" s="4"/>
    </row>
    <row r="31" spans="1:17" x14ac:dyDescent="0.2">
      <c r="A31">
        <v>3</v>
      </c>
      <c r="B31" t="s">
        <v>46</v>
      </c>
      <c r="C31" s="1" t="s">
        <v>17</v>
      </c>
      <c r="D31" s="1" t="s">
        <v>29</v>
      </c>
      <c r="I31" s="1">
        <v>4.2</v>
      </c>
      <c r="K31" s="1"/>
      <c r="L31" s="3"/>
      <c r="M31" s="3">
        <v>1933.31</v>
      </c>
      <c r="N31" s="3">
        <f>IFERROR(Table1[[#This Row],[Price '[€']]]/Table1[[#This Row],[Power '[kW']]],)</f>
        <v>460.31190476190471</v>
      </c>
      <c r="O31" s="1" t="s">
        <v>27</v>
      </c>
      <c r="P31" s="1" t="s">
        <v>28</v>
      </c>
      <c r="Q31" s="4"/>
    </row>
    <row r="32" spans="1:17" x14ac:dyDescent="0.2">
      <c r="A32">
        <v>4</v>
      </c>
      <c r="B32" t="s">
        <v>52</v>
      </c>
      <c r="C32" s="1" t="s">
        <v>17</v>
      </c>
      <c r="D32" s="1" t="s">
        <v>18</v>
      </c>
      <c r="E32" s="1" t="s">
        <v>51</v>
      </c>
      <c r="F32" s="1">
        <v>10</v>
      </c>
      <c r="G32" s="1">
        <v>3.1E-2</v>
      </c>
      <c r="K32" s="1"/>
      <c r="L32" s="3">
        <v>34.6</v>
      </c>
      <c r="M32" s="3"/>
      <c r="N32" s="3">
        <f>IFERROR(Table1[[#This Row],[Price '[€']]]/Table1[[#This Row],[Power '[kW']]],)</f>
        <v>0</v>
      </c>
      <c r="O32" s="1" t="s">
        <v>53</v>
      </c>
      <c r="P32" s="1" t="s">
        <v>54</v>
      </c>
      <c r="Q32" s="4"/>
    </row>
    <row r="33" spans="1:17" x14ac:dyDescent="0.2">
      <c r="A33">
        <v>4</v>
      </c>
      <c r="B33" t="s">
        <v>52</v>
      </c>
      <c r="C33" s="1" t="s">
        <v>17</v>
      </c>
      <c r="D33" s="1" t="s">
        <v>20</v>
      </c>
      <c r="E33" s="1" t="s">
        <v>51</v>
      </c>
      <c r="F33" s="1">
        <v>10</v>
      </c>
      <c r="G33" s="1">
        <v>3.1E-2</v>
      </c>
      <c r="K33" s="1"/>
      <c r="L33" s="3">
        <v>8.7799999999999994</v>
      </c>
      <c r="M33" s="3"/>
      <c r="N33" s="3">
        <f>IFERROR(Table1[[#This Row],[Price '[€']]]/Table1[[#This Row],[Power '[kW']]],)</f>
        <v>0</v>
      </c>
      <c r="O33" s="1" t="s">
        <v>53</v>
      </c>
      <c r="P33" s="1" t="s">
        <v>54</v>
      </c>
      <c r="Q33" s="4"/>
    </row>
    <row r="34" spans="1:17" x14ac:dyDescent="0.2">
      <c r="A34">
        <v>4</v>
      </c>
      <c r="B34" t="s">
        <v>52</v>
      </c>
      <c r="C34" s="1" t="s">
        <v>17</v>
      </c>
      <c r="D34" s="1" t="s">
        <v>18</v>
      </c>
      <c r="E34" s="1" t="s">
        <v>33</v>
      </c>
      <c r="F34" s="1">
        <v>5</v>
      </c>
      <c r="G34" s="1">
        <v>3.9E-2</v>
      </c>
      <c r="K34" s="1"/>
      <c r="L34" s="3">
        <v>31.94</v>
      </c>
      <c r="M34" s="3"/>
      <c r="N34" s="3">
        <f>IFERROR(Table1[[#This Row],[Price '[€']]]/Table1[[#This Row],[Power '[kW']]],)</f>
        <v>0</v>
      </c>
      <c r="O34" s="1" t="s">
        <v>53</v>
      </c>
      <c r="P34" s="1" t="s">
        <v>54</v>
      </c>
      <c r="Q34" s="4"/>
    </row>
    <row r="35" spans="1:17" x14ac:dyDescent="0.2">
      <c r="A35">
        <v>4</v>
      </c>
      <c r="B35" t="s">
        <v>52</v>
      </c>
      <c r="C35" s="1" t="s">
        <v>17</v>
      </c>
      <c r="D35" s="1" t="s">
        <v>20</v>
      </c>
      <c r="E35" s="1" t="s">
        <v>33</v>
      </c>
      <c r="F35" s="1">
        <v>5</v>
      </c>
      <c r="G35" s="1">
        <v>3.9E-2</v>
      </c>
      <c r="K35" s="1"/>
      <c r="L35" s="3">
        <v>7.8</v>
      </c>
      <c r="M35" s="3"/>
      <c r="N35" s="3">
        <f>IFERROR(Table1[[#This Row],[Price '[€']]]/Table1[[#This Row],[Power '[kW']]],)</f>
        <v>0</v>
      </c>
      <c r="O35" s="1" t="s">
        <v>53</v>
      </c>
      <c r="P35" s="1" t="s">
        <v>54</v>
      </c>
      <c r="Q35" s="4"/>
    </row>
    <row r="36" spans="1:17" x14ac:dyDescent="0.2">
      <c r="A36">
        <v>4</v>
      </c>
      <c r="B36" t="s">
        <v>52</v>
      </c>
      <c r="C36" s="1" t="s">
        <v>17</v>
      </c>
      <c r="D36" s="1" t="s">
        <v>18</v>
      </c>
      <c r="E36" s="1" t="s">
        <v>38</v>
      </c>
      <c r="F36" s="1">
        <v>10</v>
      </c>
      <c r="G36" s="1">
        <v>4.3999999999999997E-2</v>
      </c>
      <c r="K36" s="1"/>
      <c r="L36" s="3">
        <v>30.03</v>
      </c>
      <c r="M36" s="3"/>
      <c r="N36" s="3">
        <f>IFERROR(Table1[[#This Row],[Price '[€']]]/Table1[[#This Row],[Power '[kW']]],)</f>
        <v>0</v>
      </c>
      <c r="O36" s="1" t="s">
        <v>53</v>
      </c>
      <c r="P36" s="1" t="s">
        <v>54</v>
      </c>
      <c r="Q36" s="4"/>
    </row>
    <row r="37" spans="1:17" x14ac:dyDescent="0.2">
      <c r="A37">
        <v>4</v>
      </c>
      <c r="B37" t="s">
        <v>52</v>
      </c>
      <c r="C37" s="1" t="s">
        <v>17</v>
      </c>
      <c r="D37" s="1" t="s">
        <v>20</v>
      </c>
      <c r="E37" s="1" t="s">
        <v>38</v>
      </c>
      <c r="F37" s="1">
        <v>10</v>
      </c>
      <c r="G37" s="1">
        <v>4.3999999999999997E-2</v>
      </c>
      <c r="K37" s="1"/>
      <c r="L37" s="3">
        <v>5.89</v>
      </c>
      <c r="M37" s="3"/>
      <c r="N37" s="3">
        <f>IFERROR(Table1[[#This Row],[Price '[€']]]/Table1[[#This Row],[Power '[kW']]],)</f>
        <v>0</v>
      </c>
      <c r="O37" s="1" t="s">
        <v>53</v>
      </c>
      <c r="P37" s="1" t="s">
        <v>54</v>
      </c>
      <c r="Q37" s="4"/>
    </row>
    <row r="38" spans="1:17" x14ac:dyDescent="0.2">
      <c r="A38">
        <v>4</v>
      </c>
      <c r="B38" t="s">
        <v>52</v>
      </c>
      <c r="C38" s="1" t="s">
        <v>17</v>
      </c>
      <c r="D38" s="1" t="s">
        <v>22</v>
      </c>
      <c r="E38" s="1" t="s">
        <v>38</v>
      </c>
      <c r="F38" s="1">
        <v>10</v>
      </c>
      <c r="G38" s="1">
        <v>4.3999999999999997E-2</v>
      </c>
      <c r="K38" s="1"/>
      <c r="L38" s="3">
        <v>5.89</v>
      </c>
      <c r="M38" s="3"/>
      <c r="N38" s="3">
        <f>IFERROR(Table1[[#This Row],[Price '[€']]]/Table1[[#This Row],[Power '[kW']]],)</f>
        <v>0</v>
      </c>
      <c r="O38" s="1" t="s">
        <v>53</v>
      </c>
      <c r="P38" s="1" t="s">
        <v>54</v>
      </c>
      <c r="Q38" s="4"/>
    </row>
    <row r="39" spans="1:17" x14ac:dyDescent="0.2">
      <c r="A39">
        <v>4</v>
      </c>
      <c r="B39" t="s">
        <v>52</v>
      </c>
      <c r="C39" s="1" t="s">
        <v>17</v>
      </c>
      <c r="D39" s="1" t="s">
        <v>24</v>
      </c>
      <c r="E39" s="1" t="s">
        <v>38</v>
      </c>
      <c r="F39" s="1">
        <v>10</v>
      </c>
      <c r="G39" s="1">
        <v>4.3999999999999997E-2</v>
      </c>
      <c r="K39" s="1"/>
      <c r="L39" s="3">
        <v>182.24</v>
      </c>
      <c r="M39" s="3"/>
      <c r="N39" s="3">
        <f>IFERROR(Table1[[#This Row],[Price '[€']]]/Table1[[#This Row],[Power '[kW']]],)</f>
        <v>0</v>
      </c>
      <c r="O39" s="1" t="s">
        <v>53</v>
      </c>
      <c r="P39" s="1" t="s">
        <v>54</v>
      </c>
      <c r="Q39" s="4"/>
    </row>
    <row r="40" spans="1:17" x14ac:dyDescent="0.2">
      <c r="A40">
        <v>4</v>
      </c>
      <c r="B40" t="s">
        <v>52</v>
      </c>
      <c r="C40" s="1" t="s">
        <v>17</v>
      </c>
      <c r="D40" s="1" t="s">
        <v>23</v>
      </c>
      <c r="E40" s="1" t="s">
        <v>51</v>
      </c>
      <c r="F40" s="1">
        <v>10</v>
      </c>
      <c r="G40" s="1">
        <v>3.1E-2</v>
      </c>
      <c r="K40" s="1"/>
      <c r="L40" s="3">
        <v>113</v>
      </c>
      <c r="M40" s="3"/>
      <c r="N40" s="3">
        <f>IFERROR(Table1[[#This Row],[Price '[€']]]/Table1[[#This Row],[Power '[kW']]],)</f>
        <v>0</v>
      </c>
      <c r="O40" s="1" t="s">
        <v>55</v>
      </c>
      <c r="P40" s="1" t="s">
        <v>54</v>
      </c>
      <c r="Q40" s="4"/>
    </row>
    <row r="41" spans="1:17" x14ac:dyDescent="0.2">
      <c r="A41">
        <v>4</v>
      </c>
      <c r="B41" t="s">
        <v>52</v>
      </c>
      <c r="C41" s="1" t="s">
        <v>17</v>
      </c>
      <c r="D41" s="1" t="s">
        <v>26</v>
      </c>
      <c r="K41" s="1"/>
      <c r="L41" s="3">
        <v>350</v>
      </c>
      <c r="M41" s="3"/>
      <c r="N41" s="3">
        <f>IFERROR(Table1[[#This Row],[Price '[€']]]/Table1[[#This Row],[Power '[kW']]],)</f>
        <v>0</v>
      </c>
      <c r="O41" s="1" t="s">
        <v>56</v>
      </c>
      <c r="P41" s="1" t="s">
        <v>54</v>
      </c>
      <c r="Q41" s="4"/>
    </row>
    <row r="42" spans="1:17" x14ac:dyDescent="0.2">
      <c r="A42">
        <v>4</v>
      </c>
      <c r="B42" t="s">
        <v>52</v>
      </c>
      <c r="C42" s="1" t="s">
        <v>17</v>
      </c>
      <c r="D42" s="1" t="s">
        <v>19</v>
      </c>
      <c r="I42" s="1">
        <v>8</v>
      </c>
      <c r="K42" s="1"/>
      <c r="L42" s="3"/>
      <c r="M42" s="3">
        <v>4000</v>
      </c>
      <c r="N42" s="3">
        <f>IFERROR(Table1[[#This Row],[Price '[€']]]/Table1[[#This Row],[Power '[kW']]],)</f>
        <v>500</v>
      </c>
      <c r="O42" s="1" t="s">
        <v>57</v>
      </c>
      <c r="P42" s="1" t="s">
        <v>58</v>
      </c>
      <c r="Q42" s="4"/>
    </row>
    <row r="43" spans="1:17" x14ac:dyDescent="0.2">
      <c r="A43">
        <v>4</v>
      </c>
      <c r="B43" t="s">
        <v>52</v>
      </c>
      <c r="C43" s="1" t="s">
        <v>17</v>
      </c>
      <c r="D43" s="1" t="s">
        <v>25</v>
      </c>
      <c r="H43" s="1">
        <v>1.4</v>
      </c>
      <c r="K43" s="1"/>
      <c r="L43" s="3"/>
      <c r="M43" s="3"/>
      <c r="N43" s="3">
        <v>1350</v>
      </c>
      <c r="O43" s="1" t="s">
        <v>30</v>
      </c>
      <c r="P43" s="12" t="s">
        <v>31</v>
      </c>
      <c r="Q43" s="4"/>
    </row>
    <row r="44" spans="1:17" x14ac:dyDescent="0.2">
      <c r="A44">
        <v>4</v>
      </c>
      <c r="B44" t="s">
        <v>52</v>
      </c>
      <c r="C44" s="1" t="s">
        <v>17</v>
      </c>
      <c r="D44" s="1" t="s">
        <v>29</v>
      </c>
      <c r="I44" s="1">
        <v>4.2</v>
      </c>
      <c r="K44" s="1"/>
      <c r="L44" s="3"/>
      <c r="M44" s="3">
        <v>2116.19</v>
      </c>
      <c r="N44" s="3">
        <f>IFERROR(Table1[[#This Row],[Price '[€']]]/Table1[[#This Row],[Power '[kW']]],)</f>
        <v>503.85476190476192</v>
      </c>
      <c r="O44" s="1" t="s">
        <v>27</v>
      </c>
      <c r="P44" s="1" t="s">
        <v>28</v>
      </c>
      <c r="Q44" s="4"/>
    </row>
    <row r="45" spans="1:17" x14ac:dyDescent="0.2">
      <c r="A45">
        <v>5</v>
      </c>
      <c r="B45" t="s">
        <v>59</v>
      </c>
      <c r="C45" s="8" t="s">
        <v>17</v>
      </c>
      <c r="D45" s="8" t="s">
        <v>18</v>
      </c>
      <c r="F45" s="1">
        <v>6</v>
      </c>
      <c r="G45" s="1">
        <v>3.7999999999999999E-2</v>
      </c>
      <c r="K45" s="3"/>
      <c r="L45" s="3">
        <v>85.24</v>
      </c>
      <c r="M45" s="1"/>
      <c r="N45" s="9">
        <f>IFERROR(Table1[[#This Row],[Price '[€']]]/Table1[[#This Row],[Power '[kW']]],)</f>
        <v>0</v>
      </c>
      <c r="O45" s="1" t="s">
        <v>207</v>
      </c>
      <c r="Q45" s="4"/>
    </row>
    <row r="46" spans="1:17" x14ac:dyDescent="0.2">
      <c r="A46">
        <v>5</v>
      </c>
      <c r="B46" t="s">
        <v>59</v>
      </c>
      <c r="C46" s="8" t="s">
        <v>17</v>
      </c>
      <c r="D46" s="8" t="s">
        <v>20</v>
      </c>
      <c r="F46" s="1">
        <v>1</v>
      </c>
      <c r="G46" s="1">
        <v>3.7999999999999999E-2</v>
      </c>
      <c r="K46" s="3"/>
      <c r="L46" s="3">
        <v>2.14</v>
      </c>
      <c r="M46" s="1"/>
      <c r="N46" s="9">
        <f>IFERROR(Table1[[#This Row],[Price '[€']]]/Table1[[#This Row],[Power '[kW']]],)</f>
        <v>0</v>
      </c>
      <c r="O46" s="1" t="s">
        <v>207</v>
      </c>
      <c r="Q46" s="4"/>
    </row>
    <row r="47" spans="1:17" x14ac:dyDescent="0.2">
      <c r="A47">
        <v>5</v>
      </c>
      <c r="B47" t="s">
        <v>59</v>
      </c>
      <c r="C47" s="8" t="s">
        <v>17</v>
      </c>
      <c r="D47" s="8" t="s">
        <v>22</v>
      </c>
      <c r="F47" s="1">
        <v>6</v>
      </c>
      <c r="G47" s="1">
        <v>3.7999999999999999E-2</v>
      </c>
      <c r="K47" s="3"/>
      <c r="L47" s="3">
        <v>153.53</v>
      </c>
      <c r="M47" s="1"/>
      <c r="N47" s="9">
        <f>IFERROR(Table1[[#This Row],[Price '[€']]]/Table1[[#This Row],[Power '[kW']]],)</f>
        <v>0</v>
      </c>
      <c r="O47" s="1" t="s">
        <v>207</v>
      </c>
      <c r="Q47" s="4"/>
    </row>
    <row r="48" spans="1:17" x14ac:dyDescent="0.2">
      <c r="A48">
        <v>5</v>
      </c>
      <c r="B48" t="s">
        <v>59</v>
      </c>
      <c r="C48" s="8" t="s">
        <v>17</v>
      </c>
      <c r="D48" s="8" t="s">
        <v>24</v>
      </c>
      <c r="F48" s="1">
        <v>6</v>
      </c>
      <c r="G48" s="1">
        <v>3.7999999999999999E-2</v>
      </c>
      <c r="K48" s="3"/>
      <c r="L48" s="3">
        <v>131.62</v>
      </c>
      <c r="M48" s="1"/>
      <c r="N48" s="9">
        <f>IFERROR(Table1[[#This Row],[Price '[€']]]/Table1[[#This Row],[Power '[kW']]],)</f>
        <v>0</v>
      </c>
      <c r="O48" s="1" t="s">
        <v>207</v>
      </c>
      <c r="Q48" s="4"/>
    </row>
    <row r="49" spans="1:17" x14ac:dyDescent="0.2">
      <c r="A49">
        <v>5</v>
      </c>
      <c r="B49" t="s">
        <v>59</v>
      </c>
      <c r="C49" s="8" t="s">
        <v>17</v>
      </c>
      <c r="D49" s="8" t="s">
        <v>23</v>
      </c>
      <c r="F49" s="1">
        <v>6</v>
      </c>
      <c r="G49" s="1">
        <v>3.7999999999999999E-2</v>
      </c>
      <c r="K49" s="3"/>
      <c r="L49" s="3">
        <v>38.28</v>
      </c>
      <c r="M49" s="1"/>
      <c r="N49" s="9">
        <f>IFERROR(Table1[[#This Row],[Price '[€']]]/Table1[[#This Row],[Power '[kW']]],)</f>
        <v>0</v>
      </c>
      <c r="O49" s="1" t="s">
        <v>207</v>
      </c>
      <c r="Q49" s="4"/>
    </row>
    <row r="50" spans="1:17" x14ac:dyDescent="0.2">
      <c r="A50">
        <v>5</v>
      </c>
      <c r="B50" t="s">
        <v>59</v>
      </c>
      <c r="C50" s="8" t="s">
        <v>17</v>
      </c>
      <c r="D50" s="8" t="s">
        <v>26</v>
      </c>
      <c r="H50" s="1">
        <v>0.95</v>
      </c>
      <c r="K50" s="3"/>
      <c r="L50" s="3">
        <v>304.20999999999998</v>
      </c>
      <c r="M50" s="1"/>
      <c r="N50" s="9">
        <f>IFERROR(Table1[[#This Row],[Price '[€']]]/Table1[[#This Row],[Power '[kW']]],)</f>
        <v>0</v>
      </c>
      <c r="O50" s="1" t="s">
        <v>207</v>
      </c>
      <c r="Q50" s="4"/>
    </row>
    <row r="51" spans="1:17" x14ac:dyDescent="0.2">
      <c r="A51">
        <v>5</v>
      </c>
      <c r="B51" t="s">
        <v>59</v>
      </c>
      <c r="C51" s="8" t="s">
        <v>17</v>
      </c>
      <c r="D51" s="8" t="s">
        <v>19</v>
      </c>
      <c r="I51" s="1">
        <v>7</v>
      </c>
      <c r="K51" s="3"/>
      <c r="L51" s="3"/>
      <c r="M51" s="10">
        <v>10171.35</v>
      </c>
      <c r="N51" s="9">
        <f>IFERROR(Table1[[#This Row],[Price '[€']]]/Table1[[#This Row],[Power '[kW']]],)</f>
        <v>1453.05</v>
      </c>
      <c r="O51" s="1" t="s">
        <v>27</v>
      </c>
      <c r="P51" s="11" t="s">
        <v>28</v>
      </c>
      <c r="Q51" s="4"/>
    </row>
    <row r="52" spans="1:17" x14ac:dyDescent="0.2">
      <c r="A52">
        <v>5</v>
      </c>
      <c r="B52" t="s">
        <v>59</v>
      </c>
      <c r="C52" s="8" t="s">
        <v>17</v>
      </c>
      <c r="D52" s="8" t="s">
        <v>21</v>
      </c>
      <c r="I52" s="1">
        <v>14</v>
      </c>
      <c r="K52" s="3"/>
      <c r="L52" s="3"/>
      <c r="M52" s="10">
        <v>3439.17</v>
      </c>
      <c r="N52" s="9">
        <f>IFERROR(Table1[[#This Row],[Price '[€']]]/Table1[[#This Row],[Power '[kW']]],)</f>
        <v>245.655</v>
      </c>
      <c r="O52" s="1" t="s">
        <v>27</v>
      </c>
      <c r="P52" s="1" t="s">
        <v>28</v>
      </c>
      <c r="Q52" s="4"/>
    </row>
    <row r="53" spans="1:17" x14ac:dyDescent="0.2">
      <c r="A53">
        <v>5</v>
      </c>
      <c r="B53" t="s">
        <v>59</v>
      </c>
      <c r="C53" s="8" t="s">
        <v>17</v>
      </c>
      <c r="D53" s="8" t="s">
        <v>25</v>
      </c>
      <c r="K53" s="3"/>
      <c r="L53" s="3"/>
      <c r="M53" s="1"/>
      <c r="N53" s="9">
        <v>1350</v>
      </c>
      <c r="O53" s="1" t="s">
        <v>30</v>
      </c>
      <c r="P53" s="12" t="s">
        <v>31</v>
      </c>
      <c r="Q53" s="4"/>
    </row>
    <row r="54" spans="1:17" x14ac:dyDescent="0.2">
      <c r="A54">
        <v>5</v>
      </c>
      <c r="B54" t="s">
        <v>59</v>
      </c>
      <c r="C54" s="8" t="s">
        <v>17</v>
      </c>
      <c r="D54" s="1" t="s">
        <v>29</v>
      </c>
      <c r="I54" s="1">
        <v>4.2</v>
      </c>
      <c r="K54" s="3"/>
      <c r="L54" s="3"/>
      <c r="M54" s="1">
        <v>2269.98</v>
      </c>
      <c r="N54" s="9">
        <f>IFERROR(Table1[[#This Row],[Price '[€']]]/Table1[[#This Row],[Power '[kW']]],)</f>
        <v>540.47142857142853</v>
      </c>
      <c r="O54" s="1" t="s">
        <v>27</v>
      </c>
      <c r="P54" s="1" t="s">
        <v>28</v>
      </c>
      <c r="Q54" s="4"/>
    </row>
    <row r="55" spans="1:17" x14ac:dyDescent="0.2">
      <c r="A55">
        <v>6</v>
      </c>
      <c r="B55" t="s">
        <v>211</v>
      </c>
      <c r="C55" s="1" t="s">
        <v>17</v>
      </c>
      <c r="D55" s="1" t="s">
        <v>18</v>
      </c>
      <c r="E55" s="1" t="s">
        <v>51</v>
      </c>
      <c r="F55" s="1">
        <v>8</v>
      </c>
      <c r="G55" s="1">
        <v>3.7999999999999999E-2</v>
      </c>
      <c r="K55" s="1"/>
      <c r="L55" s="3">
        <v>71.239999999999995</v>
      </c>
      <c r="M55" s="3"/>
      <c r="N55" s="3">
        <f>IFERROR(Table1[[#This Row],[Price '[€']]]/Table1[[#This Row],[Power '[kW']]],)</f>
        <v>0</v>
      </c>
      <c r="O55" s="1" t="s">
        <v>60</v>
      </c>
      <c r="P55" s="1" t="s">
        <v>61</v>
      </c>
      <c r="Q55" s="4"/>
    </row>
    <row r="56" spans="1:17" x14ac:dyDescent="0.2">
      <c r="A56">
        <v>6</v>
      </c>
      <c r="B56" t="s">
        <v>211</v>
      </c>
      <c r="C56" s="1" t="s">
        <v>17</v>
      </c>
      <c r="D56" s="1" t="s">
        <v>20</v>
      </c>
      <c r="E56" s="1" t="s">
        <v>51</v>
      </c>
      <c r="G56" s="1">
        <v>3.7999999999999999E-2</v>
      </c>
      <c r="K56" s="1"/>
      <c r="L56" s="3">
        <v>2.2599999999999998</v>
      </c>
      <c r="M56" s="3"/>
      <c r="N56" s="3">
        <f>IFERROR(Table1[[#This Row],[Price '[€']]]/Table1[[#This Row],[Power '[kW']]],)</f>
        <v>0</v>
      </c>
      <c r="O56" s="1" t="s">
        <v>60</v>
      </c>
      <c r="P56" s="1" t="s">
        <v>61</v>
      </c>
      <c r="Q56" s="4"/>
    </row>
    <row r="57" spans="1:17" x14ac:dyDescent="0.2">
      <c r="A57">
        <v>6</v>
      </c>
      <c r="B57" t="s">
        <v>211</v>
      </c>
      <c r="C57" s="1" t="s">
        <v>17</v>
      </c>
      <c r="D57" s="1" t="s">
        <v>18</v>
      </c>
      <c r="E57" s="1" t="s">
        <v>33</v>
      </c>
      <c r="F57" s="1">
        <v>8</v>
      </c>
      <c r="G57" s="1">
        <v>4.1000000000000002E-2</v>
      </c>
      <c r="K57" s="1"/>
      <c r="L57" s="3">
        <v>91.6</v>
      </c>
      <c r="M57" s="3"/>
      <c r="N57" s="3">
        <f>IFERROR(Table1[[#This Row],[Price '[€']]]/Table1[[#This Row],[Power '[kW']]],)</f>
        <v>0</v>
      </c>
      <c r="O57" s="1" t="s">
        <v>60</v>
      </c>
      <c r="Q57" s="4"/>
    </row>
    <row r="58" spans="1:17" x14ac:dyDescent="0.2">
      <c r="A58">
        <v>6</v>
      </c>
      <c r="B58" t="s">
        <v>211</v>
      </c>
      <c r="C58" s="1" t="s">
        <v>17</v>
      </c>
      <c r="D58" s="1" t="s">
        <v>20</v>
      </c>
      <c r="E58" s="1" t="s">
        <v>33</v>
      </c>
      <c r="G58" s="1">
        <v>4.1000000000000002E-2</v>
      </c>
      <c r="K58" s="1"/>
      <c r="L58" s="3">
        <v>5.6</v>
      </c>
      <c r="M58" s="3"/>
      <c r="N58" s="3">
        <f>IFERROR(Table1[[#This Row],[Price '[€']]]/Table1[[#This Row],[Power '[kW']]],)</f>
        <v>0</v>
      </c>
      <c r="O58" s="1" t="s">
        <v>60</v>
      </c>
      <c r="Q58" s="4"/>
    </row>
    <row r="59" spans="1:17" x14ac:dyDescent="0.2">
      <c r="A59">
        <v>6</v>
      </c>
      <c r="B59" t="s">
        <v>211</v>
      </c>
      <c r="C59" s="1" t="s">
        <v>17</v>
      </c>
      <c r="D59" s="1" t="s">
        <v>22</v>
      </c>
      <c r="E59" s="1" t="s">
        <v>51</v>
      </c>
      <c r="F59" s="1">
        <v>24</v>
      </c>
      <c r="G59" s="1">
        <v>3.7999999999999999E-2</v>
      </c>
      <c r="K59" s="1"/>
      <c r="L59" s="3">
        <v>37</v>
      </c>
      <c r="M59" s="3"/>
      <c r="N59" s="3">
        <f>IFERROR(Table1[[#This Row],[Price '[€']]]/Table1[[#This Row],[Power '[kW']]],)</f>
        <v>0</v>
      </c>
      <c r="O59" s="1" t="s">
        <v>207</v>
      </c>
      <c r="Q59" s="4"/>
    </row>
    <row r="60" spans="1:17" x14ac:dyDescent="0.2">
      <c r="A60">
        <v>6</v>
      </c>
      <c r="B60" t="s">
        <v>211</v>
      </c>
      <c r="C60" s="1" t="s">
        <v>17</v>
      </c>
      <c r="D60" s="1" t="s">
        <v>24</v>
      </c>
      <c r="K60" s="1"/>
      <c r="L60" s="3"/>
      <c r="M60" s="3"/>
      <c r="N60" s="3">
        <f>IFERROR(Table1[[#This Row],[Price '[€']]]/Table1[[#This Row],[Power '[kW']]],)</f>
        <v>0</v>
      </c>
      <c r="Q60" s="4"/>
    </row>
    <row r="61" spans="1:17" x14ac:dyDescent="0.2">
      <c r="A61">
        <v>6</v>
      </c>
      <c r="B61" t="s">
        <v>211</v>
      </c>
      <c r="C61" s="1" t="s">
        <v>17</v>
      </c>
      <c r="D61" s="1" t="s">
        <v>23</v>
      </c>
      <c r="K61" s="1"/>
      <c r="L61" s="3">
        <v>42</v>
      </c>
      <c r="M61" s="3"/>
      <c r="N61" s="3">
        <f>IFERROR(Table1[[#This Row],[Price '[€']]]/Table1[[#This Row],[Power '[kW']]],)</f>
        <v>0</v>
      </c>
      <c r="O61" s="1" t="s">
        <v>207</v>
      </c>
      <c r="Q61" s="4"/>
    </row>
    <row r="62" spans="1:17" x14ac:dyDescent="0.2">
      <c r="A62">
        <v>6</v>
      </c>
      <c r="B62" t="s">
        <v>211</v>
      </c>
      <c r="C62" s="1" t="s">
        <v>17</v>
      </c>
      <c r="D62" s="1" t="s">
        <v>26</v>
      </c>
      <c r="K62" s="1"/>
      <c r="L62" s="3">
        <v>384</v>
      </c>
      <c r="M62" s="3"/>
      <c r="N62" s="3">
        <f>IFERROR(Table1[[#This Row],[Price '[€']]]/Table1[[#This Row],[Power '[kW']]],)</f>
        <v>0</v>
      </c>
      <c r="O62" s="1" t="s">
        <v>207</v>
      </c>
      <c r="Q62" s="4"/>
    </row>
    <row r="63" spans="1:17" x14ac:dyDescent="0.2">
      <c r="A63">
        <v>6</v>
      </c>
      <c r="B63" t="s">
        <v>211</v>
      </c>
      <c r="C63" s="1" t="s">
        <v>17</v>
      </c>
      <c r="D63" s="1" t="s">
        <v>19</v>
      </c>
      <c r="I63" s="1">
        <v>7</v>
      </c>
      <c r="K63" s="1"/>
      <c r="L63" s="3"/>
      <c r="M63" s="3">
        <v>9824.6200000000008</v>
      </c>
      <c r="N63" s="3">
        <f>IFERROR(Table1[[#This Row],[Price '[€']]]/Table1[[#This Row],[Power '[kW']]],)</f>
        <v>1403.517142857143</v>
      </c>
      <c r="O63" s="1" t="s">
        <v>27</v>
      </c>
      <c r="P63" s="11" t="s">
        <v>28</v>
      </c>
      <c r="Q63" s="4"/>
    </row>
    <row r="64" spans="1:17" x14ac:dyDescent="0.2">
      <c r="A64">
        <v>6</v>
      </c>
      <c r="B64" t="s">
        <v>211</v>
      </c>
      <c r="C64" s="1" t="s">
        <v>17</v>
      </c>
      <c r="D64" s="1" t="s">
        <v>21</v>
      </c>
      <c r="I64" s="1">
        <v>14</v>
      </c>
      <c r="K64" s="1"/>
      <c r="L64" s="3"/>
      <c r="M64" s="3">
        <v>3321.93</v>
      </c>
      <c r="N64" s="3">
        <f>IFERROR(Table1[[#This Row],[Price '[€']]]/Table1[[#This Row],[Power '[kW']]],)</f>
        <v>237.28071428571428</v>
      </c>
      <c r="O64" s="1" t="s">
        <v>27</v>
      </c>
      <c r="P64" s="1" t="s">
        <v>28</v>
      </c>
      <c r="Q64" s="4"/>
    </row>
    <row r="65" spans="1:17" x14ac:dyDescent="0.2">
      <c r="A65">
        <v>6</v>
      </c>
      <c r="B65" s="14" t="s">
        <v>211</v>
      </c>
      <c r="C65" s="1" t="s">
        <v>17</v>
      </c>
      <c r="D65" s="1" t="s">
        <v>25</v>
      </c>
      <c r="K65" s="1"/>
      <c r="L65" s="3"/>
      <c r="M65" s="3"/>
      <c r="N65" s="3">
        <v>860</v>
      </c>
      <c r="O65" s="1" t="s">
        <v>30</v>
      </c>
      <c r="P65" s="12" t="s">
        <v>31</v>
      </c>
      <c r="Q65" s="4"/>
    </row>
    <row r="66" spans="1:17" x14ac:dyDescent="0.2">
      <c r="A66">
        <v>6</v>
      </c>
      <c r="B66" s="16" t="s">
        <v>211</v>
      </c>
      <c r="C66" s="1" t="s">
        <v>17</v>
      </c>
      <c r="D66" s="1" t="s">
        <v>29</v>
      </c>
      <c r="I66" s="1">
        <v>4.2</v>
      </c>
      <c r="K66" s="1"/>
      <c r="L66" s="3"/>
      <c r="M66" s="3">
        <v>2170.6</v>
      </c>
      <c r="N66" s="3">
        <f>IFERROR(Table1[[#This Row],[Price '[€']]]/Table1[[#This Row],[Power '[kW']]],)</f>
        <v>516.80952380952374</v>
      </c>
      <c r="O66" s="1" t="s">
        <v>27</v>
      </c>
      <c r="P66" s="1" t="s">
        <v>28</v>
      </c>
      <c r="Q66" s="4"/>
    </row>
    <row r="67" spans="1:17" x14ac:dyDescent="0.2">
      <c r="A67">
        <v>7</v>
      </c>
      <c r="B67" t="s">
        <v>62</v>
      </c>
      <c r="C67" s="1" t="s">
        <v>17</v>
      </c>
      <c r="D67" s="1" t="s">
        <v>18</v>
      </c>
      <c r="E67" s="1" t="s">
        <v>33</v>
      </c>
      <c r="F67" s="1">
        <v>20</v>
      </c>
      <c r="G67" s="1">
        <v>0.03</v>
      </c>
      <c r="K67" s="1"/>
      <c r="L67" s="3">
        <v>302.42</v>
      </c>
      <c r="M67" s="3"/>
      <c r="N67" s="3">
        <f>IFERROR(Table1[[#This Row],[Price '[€']]]/Table1[[#This Row],[Power '[kW']]],)</f>
        <v>0</v>
      </c>
      <c r="O67" s="1" t="s">
        <v>63</v>
      </c>
      <c r="P67" s="13" t="s">
        <v>64</v>
      </c>
      <c r="Q67" s="4"/>
    </row>
    <row r="68" spans="1:17" x14ac:dyDescent="0.2">
      <c r="A68">
        <v>7</v>
      </c>
      <c r="B68" t="s">
        <v>62</v>
      </c>
      <c r="C68" s="1" t="s">
        <v>17</v>
      </c>
      <c r="D68" s="1" t="s">
        <v>20</v>
      </c>
      <c r="K68" s="1"/>
      <c r="L68" s="3"/>
      <c r="M68" s="3"/>
      <c r="N68" s="3">
        <f>IFERROR(Table1[[#This Row],[Price '[€']]]/Table1[[#This Row],[Power '[kW']]],)</f>
        <v>0</v>
      </c>
      <c r="Q68" s="4"/>
    </row>
    <row r="69" spans="1:17" x14ac:dyDescent="0.2">
      <c r="A69">
        <v>7</v>
      </c>
      <c r="B69" t="s">
        <v>62</v>
      </c>
      <c r="C69" s="1" t="s">
        <v>17</v>
      </c>
      <c r="D69" s="1" t="s">
        <v>22</v>
      </c>
      <c r="E69" s="1" t="s">
        <v>33</v>
      </c>
      <c r="F69" s="1">
        <v>30</v>
      </c>
      <c r="G69" s="1">
        <v>3.5999999999999997E-2</v>
      </c>
      <c r="K69" s="1"/>
      <c r="L69" s="3">
        <v>77.3</v>
      </c>
      <c r="M69" s="3"/>
      <c r="N69" s="3">
        <f>IFERROR(Table1[[#This Row],[Price '[€']]]/Table1[[#This Row],[Power '[kW']]],)</f>
        <v>0</v>
      </c>
      <c r="O69" s="1" t="s">
        <v>65</v>
      </c>
      <c r="P69" s="13" t="s">
        <v>66</v>
      </c>
      <c r="Q69" s="4"/>
    </row>
    <row r="70" spans="1:17" x14ac:dyDescent="0.2">
      <c r="A70">
        <v>7</v>
      </c>
      <c r="B70" t="s">
        <v>62</v>
      </c>
      <c r="C70" s="1" t="s">
        <v>17</v>
      </c>
      <c r="D70" s="1" t="s">
        <v>24</v>
      </c>
      <c r="K70" s="1"/>
      <c r="L70" s="3"/>
      <c r="M70" s="3"/>
      <c r="N70" s="3">
        <f>IFERROR(Table1[[#This Row],[Price '[€']]]/Table1[[#This Row],[Power '[kW']]],)</f>
        <v>0</v>
      </c>
      <c r="Q70" s="4"/>
    </row>
    <row r="71" spans="1:17" x14ac:dyDescent="0.2">
      <c r="A71">
        <v>7</v>
      </c>
      <c r="B71" t="s">
        <v>62</v>
      </c>
      <c r="C71" s="1" t="s">
        <v>17</v>
      </c>
      <c r="D71" s="1" t="s">
        <v>23</v>
      </c>
      <c r="E71" s="1" t="s">
        <v>67</v>
      </c>
      <c r="F71" s="1">
        <v>25</v>
      </c>
      <c r="G71" s="1">
        <v>3.4000000000000002E-2</v>
      </c>
      <c r="K71" s="1"/>
      <c r="L71" s="3">
        <v>211</v>
      </c>
      <c r="M71" s="3"/>
      <c r="N71" s="3">
        <f>IFERROR(Table1[[#This Row],[Price '[€']]]/Table1[[#This Row],[Power '[kW']]],)</f>
        <v>0</v>
      </c>
      <c r="O71" s="1" t="s">
        <v>68</v>
      </c>
      <c r="P71" s="13" t="s">
        <v>69</v>
      </c>
      <c r="Q71" s="4"/>
    </row>
    <row r="72" spans="1:17" x14ac:dyDescent="0.2">
      <c r="A72">
        <v>7</v>
      </c>
      <c r="B72" t="s">
        <v>62</v>
      </c>
      <c r="C72" s="1" t="s">
        <v>17</v>
      </c>
      <c r="D72" s="1" t="s">
        <v>26</v>
      </c>
      <c r="H72" s="1">
        <v>1.4</v>
      </c>
      <c r="K72" s="1"/>
      <c r="L72" s="3">
        <v>801</v>
      </c>
      <c r="M72" s="3"/>
      <c r="N72" s="3">
        <f>IFERROR(Table1[[#This Row],[Price '[€']]]/Table1[[#This Row],[Power '[kW']]],)</f>
        <v>0</v>
      </c>
      <c r="O72" s="1" t="s">
        <v>212</v>
      </c>
      <c r="P72" s="13" t="s">
        <v>64</v>
      </c>
      <c r="Q72" s="4"/>
    </row>
    <row r="73" spans="1:17" x14ac:dyDescent="0.2">
      <c r="A73">
        <v>7</v>
      </c>
      <c r="B73" t="s">
        <v>62</v>
      </c>
      <c r="C73" s="1" t="s">
        <v>17</v>
      </c>
      <c r="D73" s="1" t="s">
        <v>19</v>
      </c>
      <c r="I73" s="1">
        <v>7</v>
      </c>
      <c r="K73" s="1"/>
      <c r="L73" s="3"/>
      <c r="M73" s="3">
        <v>12868.63</v>
      </c>
      <c r="N73" s="3">
        <f>IFERROR(Table1[[#This Row],[Price '[€']]]/Table1[[#This Row],[Power '[kW']]],)</f>
        <v>1838.3757142857141</v>
      </c>
      <c r="O73" s="1" t="s">
        <v>71</v>
      </c>
      <c r="P73" s="13" t="s">
        <v>72</v>
      </c>
      <c r="Q73" s="4"/>
    </row>
    <row r="74" spans="1:17" x14ac:dyDescent="0.2">
      <c r="A74">
        <v>7</v>
      </c>
      <c r="B74" t="s">
        <v>62</v>
      </c>
      <c r="C74" s="1" t="s">
        <v>17</v>
      </c>
      <c r="D74" s="1" t="s">
        <v>21</v>
      </c>
      <c r="I74" s="1">
        <v>14</v>
      </c>
      <c r="K74" s="1"/>
      <c r="L74" s="3"/>
      <c r="M74" s="3">
        <v>4351.1899999999996</v>
      </c>
      <c r="N74" s="3">
        <f>IFERROR(Table1[[#This Row],[Price '[€']]]/Table1[[#This Row],[Power '[kW']]],)</f>
        <v>310.7992857142857</v>
      </c>
      <c r="O74" s="1" t="s">
        <v>70</v>
      </c>
      <c r="P74" s="13" t="s">
        <v>64</v>
      </c>
      <c r="Q74" s="4"/>
    </row>
    <row r="75" spans="1:17" x14ac:dyDescent="0.2">
      <c r="A75">
        <v>7</v>
      </c>
      <c r="B75" t="s">
        <v>62</v>
      </c>
      <c r="C75" s="1" t="s">
        <v>17</v>
      </c>
      <c r="D75" s="1" t="s">
        <v>25</v>
      </c>
      <c r="K75" s="1"/>
      <c r="L75" s="3"/>
      <c r="M75" s="3"/>
      <c r="N75" s="3">
        <v>1320</v>
      </c>
      <c r="O75" s="1" t="s">
        <v>30</v>
      </c>
      <c r="P75" s="12" t="s">
        <v>31</v>
      </c>
      <c r="Q75" s="4"/>
    </row>
    <row r="76" spans="1:17" x14ac:dyDescent="0.2">
      <c r="A76">
        <v>7</v>
      </c>
      <c r="B76" t="s">
        <v>62</v>
      </c>
      <c r="C76" s="1" t="s">
        <v>17</v>
      </c>
      <c r="D76" s="1" t="s">
        <v>29</v>
      </c>
      <c r="I76" s="1">
        <v>4.2</v>
      </c>
      <c r="K76" s="1"/>
      <c r="L76" s="3"/>
      <c r="M76" s="3">
        <v>3109.92</v>
      </c>
      <c r="N76" s="3">
        <f>IFERROR(Table1[[#This Row],[Price '[€']]]/Table1[[#This Row],[Power '[kW']]],)</f>
        <v>740.4571428571428</v>
      </c>
      <c r="O76" s="1" t="s">
        <v>27</v>
      </c>
      <c r="P76" s="1" t="s">
        <v>28</v>
      </c>
      <c r="Q76" s="4"/>
    </row>
    <row r="77" spans="1:17" x14ac:dyDescent="0.2">
      <c r="A77">
        <v>8</v>
      </c>
      <c r="B77" t="s">
        <v>73</v>
      </c>
      <c r="C77" s="1" t="s">
        <v>17</v>
      </c>
      <c r="D77" s="1" t="s">
        <v>18</v>
      </c>
      <c r="E77" s="1" t="s">
        <v>33</v>
      </c>
      <c r="F77" s="1">
        <v>15</v>
      </c>
      <c r="G77" s="1">
        <v>3.7999999999999999E-2</v>
      </c>
      <c r="K77" s="1"/>
      <c r="L77" s="3">
        <v>233</v>
      </c>
      <c r="M77" s="3"/>
      <c r="N77" s="3">
        <f>IFERROR(Table1[[#This Row],[Price '[€']]]/Table1[[#This Row],[Power '[kW']]],)</f>
        <v>0</v>
      </c>
      <c r="O77" s="1" t="s">
        <v>74</v>
      </c>
      <c r="P77" s="13" t="s">
        <v>75</v>
      </c>
      <c r="Q77" s="4"/>
    </row>
    <row r="78" spans="1:17" x14ac:dyDescent="0.2">
      <c r="A78">
        <v>8</v>
      </c>
      <c r="B78" t="s">
        <v>73</v>
      </c>
      <c r="C78" s="1" t="s">
        <v>17</v>
      </c>
      <c r="D78" s="1" t="s">
        <v>20</v>
      </c>
      <c r="E78" s="1" t="s">
        <v>33</v>
      </c>
      <c r="F78" s="1">
        <v>5</v>
      </c>
      <c r="G78" s="1">
        <v>3.7999999999999999E-2</v>
      </c>
      <c r="K78" s="1"/>
      <c r="L78" s="3">
        <v>7.7</v>
      </c>
      <c r="M78" s="3"/>
      <c r="N78" s="3">
        <f>IFERROR(Table1[[#This Row],[Price '[€']]]/Table1[[#This Row],[Power '[kW']]],)</f>
        <v>0</v>
      </c>
      <c r="O78" s="1" t="s">
        <v>76</v>
      </c>
      <c r="P78" s="13" t="s">
        <v>75</v>
      </c>
      <c r="Q78" s="4"/>
    </row>
    <row r="79" spans="1:17" x14ac:dyDescent="0.2">
      <c r="A79">
        <v>8</v>
      </c>
      <c r="B79" t="s">
        <v>73</v>
      </c>
      <c r="C79" s="1" t="s">
        <v>17</v>
      </c>
      <c r="D79" s="1" t="s">
        <v>22</v>
      </c>
      <c r="E79" s="1" t="s">
        <v>77</v>
      </c>
      <c r="F79" s="1">
        <v>80</v>
      </c>
      <c r="G79" s="1">
        <v>9.5000000000000001E-2</v>
      </c>
      <c r="K79" s="1"/>
      <c r="L79" s="3">
        <v>18</v>
      </c>
      <c r="M79" s="3"/>
      <c r="N79" s="3">
        <f>IFERROR(Table1[[#This Row],[Price '[€']]]/Table1[[#This Row],[Power '[kW']]],)</f>
        <v>0</v>
      </c>
      <c r="O79" s="1" t="s">
        <v>78</v>
      </c>
      <c r="P79" s="13" t="s">
        <v>79</v>
      </c>
      <c r="Q79" s="4"/>
    </row>
    <row r="80" spans="1:17" x14ac:dyDescent="0.2">
      <c r="A80">
        <v>8</v>
      </c>
      <c r="B80" t="s">
        <v>73</v>
      </c>
      <c r="C80" s="1" t="s">
        <v>17</v>
      </c>
      <c r="D80" s="1" t="s">
        <v>24</v>
      </c>
      <c r="K80" s="1"/>
      <c r="L80" s="3"/>
      <c r="M80" s="3"/>
      <c r="N80" s="3">
        <f>IFERROR(Table1[[#This Row],[Price '[€']]]/Table1[[#This Row],[Power '[kW']]],)</f>
        <v>0</v>
      </c>
      <c r="Q80" s="4"/>
    </row>
    <row r="81" spans="1:17" x14ac:dyDescent="0.2">
      <c r="A81">
        <v>8</v>
      </c>
      <c r="B81" t="s">
        <v>73</v>
      </c>
      <c r="C81" s="1" t="s">
        <v>17</v>
      </c>
      <c r="D81" s="1" t="s">
        <v>23</v>
      </c>
      <c r="E81" s="1" t="s">
        <v>51</v>
      </c>
      <c r="F81" s="1">
        <v>10</v>
      </c>
      <c r="G81" s="1">
        <v>3.5000000000000003E-2</v>
      </c>
      <c r="K81" s="1"/>
      <c r="L81" s="3">
        <v>102.84</v>
      </c>
      <c r="M81" s="3"/>
      <c r="N81" s="3">
        <f>IFERROR(Table1[[#This Row],[Price '[€']]]/Table1[[#This Row],[Power '[kW']]],)</f>
        <v>0</v>
      </c>
      <c r="O81" s="1" t="s">
        <v>207</v>
      </c>
      <c r="Q81" s="4"/>
    </row>
    <row r="82" spans="1:17" x14ac:dyDescent="0.2">
      <c r="A82">
        <v>8</v>
      </c>
      <c r="B82" t="s">
        <v>73</v>
      </c>
      <c r="C82" s="1" t="s">
        <v>17</v>
      </c>
      <c r="D82" s="1" t="s">
        <v>26</v>
      </c>
      <c r="E82" s="1" t="s">
        <v>43</v>
      </c>
      <c r="H82" s="1">
        <v>0.8</v>
      </c>
      <c r="K82" s="1"/>
      <c r="L82" s="3">
        <v>145</v>
      </c>
      <c r="M82" s="3"/>
      <c r="N82" s="3">
        <f>IFERROR(Table1[[#This Row],[Price '[€']]]/Table1[[#This Row],[Power '[kW']]],)</f>
        <v>0</v>
      </c>
      <c r="O82" s="1" t="s">
        <v>78</v>
      </c>
      <c r="P82" s="1" t="s">
        <v>79</v>
      </c>
      <c r="Q82" s="4"/>
    </row>
    <row r="83" spans="1:17" x14ac:dyDescent="0.2">
      <c r="A83">
        <v>8</v>
      </c>
      <c r="B83" t="s">
        <v>73</v>
      </c>
      <c r="C83" s="1" t="s">
        <v>17</v>
      </c>
      <c r="D83" s="1" t="s">
        <v>19</v>
      </c>
      <c r="I83" s="1">
        <v>7</v>
      </c>
      <c r="K83" s="1"/>
      <c r="L83" s="3"/>
      <c r="M83" s="3">
        <v>10097.25</v>
      </c>
      <c r="N83" s="3">
        <f>IFERROR(Table1[[#This Row],[Price '[€']]]/Table1[[#This Row],[Power '[kW']]],)</f>
        <v>1442.4642857142858</v>
      </c>
      <c r="O83" s="1" t="s">
        <v>27</v>
      </c>
      <c r="P83" s="11" t="s">
        <v>28</v>
      </c>
      <c r="Q83" s="4"/>
    </row>
    <row r="84" spans="1:17" x14ac:dyDescent="0.2">
      <c r="A84">
        <v>8</v>
      </c>
      <c r="B84" t="s">
        <v>73</v>
      </c>
      <c r="C84" s="1" t="s">
        <v>17</v>
      </c>
      <c r="D84" s="1" t="s">
        <v>21</v>
      </c>
      <c r="I84" s="1">
        <v>14</v>
      </c>
      <c r="K84" s="1"/>
      <c r="L84" s="3"/>
      <c r="M84" s="3">
        <v>3414.12</v>
      </c>
      <c r="N84" s="3">
        <f>IFERROR(Table1[[#This Row],[Price '[€']]]/Table1[[#This Row],[Power '[kW']]],)</f>
        <v>243.86571428571429</v>
      </c>
      <c r="O84" s="1" t="s">
        <v>27</v>
      </c>
      <c r="P84" s="1" t="s">
        <v>28</v>
      </c>
      <c r="Q84" s="4"/>
    </row>
    <row r="85" spans="1:17" x14ac:dyDescent="0.2">
      <c r="A85">
        <v>8</v>
      </c>
      <c r="B85" t="s">
        <v>73</v>
      </c>
      <c r="C85" s="1" t="s">
        <v>17</v>
      </c>
      <c r="D85" s="1" t="s">
        <v>25</v>
      </c>
      <c r="K85" s="1"/>
      <c r="L85" s="3"/>
      <c r="M85" s="3"/>
      <c r="N85" s="3">
        <v>1310</v>
      </c>
      <c r="O85" s="1" t="s">
        <v>30</v>
      </c>
      <c r="P85" s="12" t="s">
        <v>31</v>
      </c>
      <c r="Q85" s="4"/>
    </row>
    <row r="86" spans="1:17" x14ac:dyDescent="0.2">
      <c r="A86">
        <v>8</v>
      </c>
      <c r="B86" t="s">
        <v>73</v>
      </c>
      <c r="C86" s="1" t="s">
        <v>17</v>
      </c>
      <c r="D86" s="1" t="s">
        <v>29</v>
      </c>
      <c r="I86" s="1">
        <v>4.2</v>
      </c>
      <c r="K86" s="1"/>
      <c r="L86" s="3"/>
      <c r="M86" s="3">
        <v>2240.88</v>
      </c>
      <c r="N86" s="3">
        <f>IFERROR(Table1[[#This Row],[Price '[€']]]/Table1[[#This Row],[Power '[kW']]],)</f>
        <v>533.5428571428572</v>
      </c>
      <c r="O86" s="1" t="s">
        <v>27</v>
      </c>
      <c r="P86" s="1" t="s">
        <v>28</v>
      </c>
      <c r="Q86" s="4"/>
    </row>
    <row r="87" spans="1:17" x14ac:dyDescent="0.2">
      <c r="A87">
        <v>9</v>
      </c>
      <c r="B87" t="s">
        <v>80</v>
      </c>
      <c r="C87" s="8" t="s">
        <v>17</v>
      </c>
      <c r="D87" s="8" t="s">
        <v>18</v>
      </c>
      <c r="E87" s="1" t="s">
        <v>33</v>
      </c>
      <c r="F87" s="1">
        <v>8</v>
      </c>
      <c r="G87" s="1">
        <v>0.04</v>
      </c>
      <c r="K87" s="1"/>
      <c r="L87" s="3">
        <v>250</v>
      </c>
      <c r="M87" s="3"/>
      <c r="N87" s="3">
        <f>IFERROR(Table1[[#This Row],[Price '[€']]]/Table1[[#This Row],[Power '[kW']]],)</f>
        <v>0</v>
      </c>
      <c r="O87" s="1" t="s">
        <v>81</v>
      </c>
      <c r="P87" s="13" t="s">
        <v>82</v>
      </c>
      <c r="Q87" s="4"/>
    </row>
    <row r="88" spans="1:17" x14ac:dyDescent="0.2">
      <c r="A88">
        <v>9</v>
      </c>
      <c r="B88" t="s">
        <v>80</v>
      </c>
      <c r="C88" s="8" t="s">
        <v>17</v>
      </c>
      <c r="D88" s="8" t="s">
        <v>20</v>
      </c>
      <c r="E88" s="1" t="s">
        <v>33</v>
      </c>
      <c r="F88" s="1">
        <v>2</v>
      </c>
      <c r="G88" s="1">
        <v>0.04</v>
      </c>
      <c r="K88" s="1"/>
      <c r="L88" s="3">
        <v>16</v>
      </c>
      <c r="M88" s="3"/>
      <c r="N88" s="3">
        <f>IFERROR(Table1[[#This Row],[Price '[€']]]/Table1[[#This Row],[Power '[kW']]],)</f>
        <v>0</v>
      </c>
      <c r="O88" s="1" t="s">
        <v>207</v>
      </c>
      <c r="Q88" s="4"/>
    </row>
    <row r="89" spans="1:17" x14ac:dyDescent="0.2">
      <c r="A89">
        <v>9</v>
      </c>
      <c r="B89" t="s">
        <v>80</v>
      </c>
      <c r="C89" s="8" t="s">
        <v>17</v>
      </c>
      <c r="D89" s="8" t="s">
        <v>22</v>
      </c>
      <c r="E89" s="1" t="s">
        <v>33</v>
      </c>
      <c r="F89" s="1">
        <v>30</v>
      </c>
      <c r="G89" s="1">
        <v>0.04</v>
      </c>
      <c r="K89" s="1"/>
      <c r="L89" s="3">
        <v>90</v>
      </c>
      <c r="M89" s="3"/>
      <c r="N89" s="3">
        <f>IFERROR(Table1[[#This Row],[Price '[€']]]/Table1[[#This Row],[Power '[kW']]],)</f>
        <v>0</v>
      </c>
      <c r="O89" s="1" t="s">
        <v>207</v>
      </c>
      <c r="Q89" s="4"/>
    </row>
    <row r="90" spans="1:17" x14ac:dyDescent="0.2">
      <c r="A90">
        <v>9</v>
      </c>
      <c r="B90" t="s">
        <v>80</v>
      </c>
      <c r="C90" s="8" t="s">
        <v>17</v>
      </c>
      <c r="D90" s="8" t="s">
        <v>24</v>
      </c>
      <c r="E90" s="1" t="s">
        <v>33</v>
      </c>
      <c r="F90" s="1">
        <v>25</v>
      </c>
      <c r="G90" s="1">
        <v>0.04</v>
      </c>
      <c r="K90" s="1"/>
      <c r="L90" s="3">
        <v>193</v>
      </c>
      <c r="M90" s="3"/>
      <c r="N90" s="3">
        <f>IFERROR(Table1[[#This Row],[Price '[€']]]/Table1[[#This Row],[Power '[kW']]],)</f>
        <v>0</v>
      </c>
      <c r="O90" s="1" t="s">
        <v>83</v>
      </c>
      <c r="P90" s="13" t="s">
        <v>84</v>
      </c>
      <c r="Q90" s="4"/>
    </row>
    <row r="91" spans="1:17" x14ac:dyDescent="0.2">
      <c r="A91">
        <v>9</v>
      </c>
      <c r="B91" t="s">
        <v>80</v>
      </c>
      <c r="C91" s="8" t="s">
        <v>17</v>
      </c>
      <c r="D91" s="8" t="s">
        <v>23</v>
      </c>
      <c r="E91" s="1" t="s">
        <v>85</v>
      </c>
      <c r="F91" s="1">
        <v>15</v>
      </c>
      <c r="G91" s="1">
        <v>2.1999999999999999E-2</v>
      </c>
      <c r="K91" s="1"/>
      <c r="L91" s="3">
        <v>90</v>
      </c>
      <c r="M91" s="3"/>
      <c r="N91" s="3">
        <f>IFERROR(Table1[[#This Row],[Price '[€']]]/Table1[[#This Row],[Power '[kW']]],)</f>
        <v>0</v>
      </c>
      <c r="O91" s="1" t="s">
        <v>86</v>
      </c>
      <c r="P91" s="13" t="s">
        <v>87</v>
      </c>
      <c r="Q91" s="4"/>
    </row>
    <row r="92" spans="1:17" x14ac:dyDescent="0.2">
      <c r="A92">
        <v>9</v>
      </c>
      <c r="B92" t="s">
        <v>80</v>
      </c>
      <c r="C92" s="8" t="s">
        <v>17</v>
      </c>
      <c r="D92" s="8" t="s">
        <v>26</v>
      </c>
      <c r="E92" s="1" t="s">
        <v>88</v>
      </c>
      <c r="H92" s="1">
        <v>0.84</v>
      </c>
      <c r="K92" s="1"/>
      <c r="L92" s="3">
        <v>370</v>
      </c>
      <c r="M92" s="3"/>
      <c r="N92" s="3">
        <f>IFERROR(Table1[[#This Row],[Price '[€']]]/Table1[[#This Row],[Power '[kW']]],)</f>
        <v>0</v>
      </c>
      <c r="O92" s="1" t="s">
        <v>83</v>
      </c>
      <c r="P92" s="13" t="s">
        <v>84</v>
      </c>
      <c r="Q92" s="4"/>
    </row>
    <row r="93" spans="1:17" x14ac:dyDescent="0.2">
      <c r="A93">
        <v>9</v>
      </c>
      <c r="B93" t="s">
        <v>80</v>
      </c>
      <c r="C93" s="8" t="s">
        <v>17</v>
      </c>
      <c r="D93" s="8" t="s">
        <v>19</v>
      </c>
      <c r="I93" s="1">
        <v>1</v>
      </c>
      <c r="K93" s="1"/>
      <c r="L93" s="3"/>
      <c r="M93" s="3">
        <v>1500</v>
      </c>
      <c r="N93" s="3">
        <f>IFERROR(Table1[[#This Row],[Price '[€']]]/Table1[[#This Row],[Power '[kW']]],)</f>
        <v>1500</v>
      </c>
      <c r="O93" s="1" t="s">
        <v>89</v>
      </c>
      <c r="P93" s="13" t="s">
        <v>90</v>
      </c>
      <c r="Q93" s="4"/>
    </row>
    <row r="94" spans="1:17" x14ac:dyDescent="0.2">
      <c r="A94">
        <v>9</v>
      </c>
      <c r="B94" t="s">
        <v>80</v>
      </c>
      <c r="C94" s="8" t="s">
        <v>17</v>
      </c>
      <c r="D94" s="8" t="s">
        <v>21</v>
      </c>
      <c r="I94" s="1">
        <v>14</v>
      </c>
      <c r="K94" s="1"/>
      <c r="L94" s="3"/>
      <c r="M94" s="3">
        <v>3984.64</v>
      </c>
      <c r="N94" s="3">
        <f>IFERROR(Table1[[#This Row],[Price '[€']]]/Table1[[#This Row],[Power '[kW']]],)</f>
        <v>284.61714285714282</v>
      </c>
      <c r="O94" s="1" t="s">
        <v>27</v>
      </c>
      <c r="P94" s="1" t="s">
        <v>28</v>
      </c>
      <c r="Q94" s="4"/>
    </row>
    <row r="95" spans="1:17" x14ac:dyDescent="0.2">
      <c r="A95">
        <v>9</v>
      </c>
      <c r="B95" t="s">
        <v>80</v>
      </c>
      <c r="C95" s="8" t="s">
        <v>17</v>
      </c>
      <c r="D95" s="8" t="s">
        <v>25</v>
      </c>
      <c r="K95" s="1"/>
      <c r="L95" s="3"/>
      <c r="M95" s="3"/>
      <c r="N95" s="3">
        <v>1290</v>
      </c>
      <c r="O95" s="1" t="s">
        <v>30</v>
      </c>
      <c r="P95" s="12" t="s">
        <v>31</v>
      </c>
      <c r="Q95" s="4"/>
    </row>
    <row r="96" spans="1:17" x14ac:dyDescent="0.2">
      <c r="A96">
        <v>9</v>
      </c>
      <c r="B96" t="s">
        <v>80</v>
      </c>
      <c r="C96" s="8" t="s">
        <v>17</v>
      </c>
      <c r="D96" s="8" t="s">
        <v>29</v>
      </c>
      <c r="I96" s="1">
        <v>4.2</v>
      </c>
      <c r="K96" s="1"/>
      <c r="L96" s="3"/>
      <c r="M96" s="3">
        <v>2764.64</v>
      </c>
      <c r="N96" s="3">
        <f>IFERROR(Table1[[#This Row],[Price '[€']]]/Table1[[#This Row],[Power '[kW']]],)</f>
        <v>658.24761904761897</v>
      </c>
      <c r="O96" s="1" t="s">
        <v>27</v>
      </c>
      <c r="P96" s="1" t="s">
        <v>28</v>
      </c>
      <c r="Q96" s="4"/>
    </row>
    <row r="97" spans="1:17" x14ac:dyDescent="0.2">
      <c r="A97">
        <v>10</v>
      </c>
      <c r="B97" t="s">
        <v>91</v>
      </c>
      <c r="C97" s="1" t="s">
        <v>17</v>
      </c>
      <c r="D97" s="1" t="s">
        <v>18</v>
      </c>
      <c r="E97" s="1" t="s">
        <v>51</v>
      </c>
      <c r="F97" s="1">
        <v>10</v>
      </c>
      <c r="G97" s="1">
        <v>3.4000000000000002E-2</v>
      </c>
      <c r="K97" s="1"/>
      <c r="L97" s="3">
        <v>160</v>
      </c>
      <c r="M97" s="3"/>
      <c r="N97" s="3">
        <f>IFERROR(Table1[[#This Row],[Price '[€']]]/Table1[[#This Row],[Power '[kW']]],)</f>
        <v>0</v>
      </c>
      <c r="O97" s="1" t="s">
        <v>92</v>
      </c>
      <c r="P97" s="13" t="s">
        <v>93</v>
      </c>
      <c r="Q97" s="4"/>
    </row>
    <row r="98" spans="1:17" x14ac:dyDescent="0.2">
      <c r="A98">
        <v>10</v>
      </c>
      <c r="B98" t="s">
        <v>91</v>
      </c>
      <c r="C98" s="1" t="s">
        <v>17</v>
      </c>
      <c r="D98" s="1" t="s">
        <v>20</v>
      </c>
      <c r="K98" s="1"/>
      <c r="L98" s="3"/>
      <c r="M98" s="3"/>
      <c r="N98" s="3">
        <f>IFERROR(Table1[[#This Row],[Price '[€']]]/Table1[[#This Row],[Power '[kW']]],)</f>
        <v>0</v>
      </c>
      <c r="O98" s="1" t="s">
        <v>208</v>
      </c>
      <c r="Q98" s="4"/>
    </row>
    <row r="99" spans="1:17" x14ac:dyDescent="0.2">
      <c r="A99">
        <v>10</v>
      </c>
      <c r="B99" t="s">
        <v>91</v>
      </c>
      <c r="C99" s="1" t="s">
        <v>17</v>
      </c>
      <c r="D99" s="1" t="s">
        <v>22</v>
      </c>
      <c r="F99" s="14">
        <v>16</v>
      </c>
      <c r="G99" s="14">
        <v>3.4000000000000002E-2</v>
      </c>
      <c r="K99" s="1"/>
      <c r="L99" s="3">
        <v>80</v>
      </c>
      <c r="M99" s="3"/>
      <c r="N99" s="3">
        <f>IFERROR(Table1[[#This Row],[Price '[€']]]/Table1[[#This Row],[Power '[kW']]],)</f>
        <v>0</v>
      </c>
      <c r="O99" s="1" t="s">
        <v>92</v>
      </c>
      <c r="P99" s="13" t="s">
        <v>93</v>
      </c>
      <c r="Q99" s="4"/>
    </row>
    <row r="100" spans="1:17" x14ac:dyDescent="0.2">
      <c r="A100">
        <v>10</v>
      </c>
      <c r="B100" t="s">
        <v>91</v>
      </c>
      <c r="C100" s="1" t="s">
        <v>17</v>
      </c>
      <c r="D100" s="1" t="s">
        <v>24</v>
      </c>
      <c r="K100" s="1"/>
      <c r="L100" s="3"/>
      <c r="M100" s="3"/>
      <c r="N100" s="3">
        <f>IFERROR(Table1[[#This Row],[Price '[€']]]/Table1[[#This Row],[Power '[kW']]],)</f>
        <v>0</v>
      </c>
      <c r="O100" s="1" t="s">
        <v>208</v>
      </c>
      <c r="Q100" s="4"/>
    </row>
    <row r="101" spans="1:17" x14ac:dyDescent="0.2">
      <c r="A101">
        <v>10</v>
      </c>
      <c r="B101" t="s">
        <v>91</v>
      </c>
      <c r="C101" s="1" t="s">
        <v>17</v>
      </c>
      <c r="D101" s="1" t="s">
        <v>23</v>
      </c>
      <c r="K101" s="1"/>
      <c r="L101" s="3">
        <v>50</v>
      </c>
      <c r="M101" s="3"/>
      <c r="N101" s="3">
        <f>IFERROR(Table1[[#This Row],[Price '[€']]]/Table1[[#This Row],[Power '[kW']]],)</f>
        <v>0</v>
      </c>
      <c r="O101" s="1" t="s">
        <v>92</v>
      </c>
      <c r="P101" s="13" t="s">
        <v>93</v>
      </c>
      <c r="Q101" s="4"/>
    </row>
    <row r="102" spans="1:17" x14ac:dyDescent="0.2">
      <c r="A102">
        <v>10</v>
      </c>
      <c r="B102" t="s">
        <v>91</v>
      </c>
      <c r="C102" s="1" t="s">
        <v>17</v>
      </c>
      <c r="D102" s="1" t="s">
        <v>26</v>
      </c>
      <c r="E102" s="1" t="s">
        <v>43</v>
      </c>
      <c r="H102" s="1">
        <v>1.3</v>
      </c>
      <c r="K102" s="1"/>
      <c r="L102" s="3">
        <v>560</v>
      </c>
      <c r="M102" s="3"/>
      <c r="N102" s="3">
        <f>IFERROR(Table1[[#This Row],[Price '[€']]]/Table1[[#This Row],[Power '[kW']]],)</f>
        <v>0</v>
      </c>
      <c r="O102" s="1" t="s">
        <v>92</v>
      </c>
      <c r="P102" s="13" t="s">
        <v>93</v>
      </c>
      <c r="Q102" s="4"/>
    </row>
    <row r="103" spans="1:17" x14ac:dyDescent="0.2">
      <c r="A103">
        <v>10</v>
      </c>
      <c r="B103" t="s">
        <v>91</v>
      </c>
      <c r="C103" s="1" t="s">
        <v>17</v>
      </c>
      <c r="D103" s="1" t="s">
        <v>19</v>
      </c>
      <c r="I103" s="1">
        <v>15</v>
      </c>
      <c r="K103" s="1"/>
      <c r="L103" s="1"/>
      <c r="M103" s="3">
        <v>14413</v>
      </c>
      <c r="N103" s="3">
        <f>IFERROR(Table1[[#This Row],[Price '[€']]]/Table1[[#This Row],[Power '[kW']]],)</f>
        <v>960.86666666666667</v>
      </c>
      <c r="O103" s="1" t="s">
        <v>94</v>
      </c>
      <c r="P103" s="13" t="s">
        <v>95</v>
      </c>
      <c r="Q103" s="4"/>
    </row>
    <row r="104" spans="1:17" x14ac:dyDescent="0.2">
      <c r="A104">
        <v>10</v>
      </c>
      <c r="B104" t="s">
        <v>91</v>
      </c>
      <c r="C104" s="1" t="s">
        <v>17</v>
      </c>
      <c r="D104" s="1" t="s">
        <v>21</v>
      </c>
      <c r="I104" s="1">
        <v>14</v>
      </c>
      <c r="K104" s="1"/>
      <c r="L104" s="1"/>
      <c r="M104" s="3">
        <v>4066.39</v>
      </c>
      <c r="N104" s="3">
        <f>IFERROR(Table1[[#This Row],[Price '[€']]]/Table1[[#This Row],[Power '[kW']]],)</f>
        <v>290.45642857142855</v>
      </c>
      <c r="O104" s="1" t="s">
        <v>27</v>
      </c>
      <c r="P104" s="1" t="s">
        <v>28</v>
      </c>
      <c r="Q104" s="4"/>
    </row>
    <row r="105" spans="1:17" x14ac:dyDescent="0.2">
      <c r="A105">
        <v>10</v>
      </c>
      <c r="B105" t="s">
        <v>91</v>
      </c>
      <c r="C105" s="1" t="s">
        <v>17</v>
      </c>
      <c r="D105" s="1" t="s">
        <v>25</v>
      </c>
      <c r="K105" s="1"/>
      <c r="L105" s="1"/>
      <c r="M105" s="3"/>
      <c r="N105" s="3">
        <v>1810</v>
      </c>
      <c r="O105" s="1" t="s">
        <v>30</v>
      </c>
      <c r="P105" s="12" t="s">
        <v>31</v>
      </c>
      <c r="Q105" s="4"/>
    </row>
    <row r="106" spans="1:17" x14ac:dyDescent="0.2">
      <c r="A106">
        <v>10</v>
      </c>
      <c r="B106" t="s">
        <v>91</v>
      </c>
      <c r="C106" s="1" t="s">
        <v>17</v>
      </c>
      <c r="D106" s="1" t="s">
        <v>29</v>
      </c>
      <c r="I106" s="1">
        <v>4.2</v>
      </c>
      <c r="K106" s="1"/>
      <c r="L106" s="3"/>
      <c r="M106" s="3">
        <v>2870.98</v>
      </c>
      <c r="N106" s="3">
        <f>IFERROR(Table1[[#This Row],[Price '[€']]]/Table1[[#This Row],[Power '[kW']]],)</f>
        <v>683.56666666666661</v>
      </c>
      <c r="O106" s="1" t="s">
        <v>27</v>
      </c>
      <c r="P106" s="1" t="s">
        <v>28</v>
      </c>
      <c r="Q106" s="4"/>
    </row>
    <row r="107" spans="1:17" x14ac:dyDescent="0.2">
      <c r="A107">
        <v>11</v>
      </c>
      <c r="B107" t="s">
        <v>96</v>
      </c>
      <c r="C107" s="8" t="s">
        <v>17</v>
      </c>
      <c r="D107" s="8" t="s">
        <v>18</v>
      </c>
      <c r="E107" s="1" t="s">
        <v>33</v>
      </c>
      <c r="F107" s="1">
        <v>10</v>
      </c>
      <c r="G107" s="1">
        <v>3.3000000000000002E-2</v>
      </c>
      <c r="K107" s="1"/>
      <c r="L107" s="3">
        <f>151.44+4.39*Table1[[#This Row],[Thickness '[cm']]]</f>
        <v>195.34</v>
      </c>
      <c r="M107" s="3"/>
      <c r="N107" s="3">
        <f>IFERROR(Table1[[#This Row],[Price '[€']]]/Table1[[#This Row],[Power '[kW']]],)</f>
        <v>0</v>
      </c>
      <c r="O107" s="1" t="s">
        <v>97</v>
      </c>
      <c r="P107" s="15" t="s">
        <v>98</v>
      </c>
      <c r="Q107" s="4"/>
    </row>
    <row r="108" spans="1:17" x14ac:dyDescent="0.2">
      <c r="A108">
        <v>11</v>
      </c>
      <c r="B108" t="s">
        <v>96</v>
      </c>
      <c r="C108" s="8" t="s">
        <v>17</v>
      </c>
      <c r="D108" s="8" t="s">
        <v>20</v>
      </c>
      <c r="E108" s="1" t="s">
        <v>33</v>
      </c>
      <c r="F108" s="1">
        <v>2</v>
      </c>
      <c r="G108" s="1">
        <v>3.3000000000000002E-2</v>
      </c>
      <c r="K108" s="1"/>
      <c r="L108" s="3">
        <f>4.39*Table1[[#This Row],[Thickness '[cm']]]</f>
        <v>8.7799999999999994</v>
      </c>
      <c r="M108" s="3"/>
      <c r="N108" s="3">
        <f>IFERROR(Table1[[#This Row],[Price '[€']]]/Table1[[#This Row],[Power '[kW']]],)</f>
        <v>0</v>
      </c>
      <c r="O108" s="1" t="s">
        <v>97</v>
      </c>
      <c r="P108" s="15" t="s">
        <v>98</v>
      </c>
      <c r="Q108" s="4"/>
    </row>
    <row r="109" spans="1:17" x14ac:dyDescent="0.2">
      <c r="A109">
        <v>11</v>
      </c>
      <c r="B109" t="s">
        <v>96</v>
      </c>
      <c r="C109" s="8" t="s">
        <v>17</v>
      </c>
      <c r="D109" s="8" t="s">
        <v>22</v>
      </c>
      <c r="E109" s="1" t="s">
        <v>33</v>
      </c>
      <c r="F109" s="1">
        <v>16</v>
      </c>
      <c r="G109" s="1">
        <v>3.3000000000000002E-2</v>
      </c>
      <c r="K109" s="1"/>
      <c r="L109" s="3">
        <f>46.72+2.97*Table1[[#This Row],[Thickness '[cm']]]</f>
        <v>94.240000000000009</v>
      </c>
      <c r="M109" s="3"/>
      <c r="N109" s="3">
        <f>IFERROR(Table1[[#This Row],[Price '[€']]]/Table1[[#This Row],[Power '[kW']]],)</f>
        <v>0</v>
      </c>
      <c r="O109" s="1" t="s">
        <v>97</v>
      </c>
      <c r="P109" s="15" t="s">
        <v>98</v>
      </c>
      <c r="Q109" s="4"/>
    </row>
    <row r="110" spans="1:17" x14ac:dyDescent="0.2">
      <c r="A110">
        <v>11</v>
      </c>
      <c r="B110" t="s">
        <v>96</v>
      </c>
      <c r="C110" s="8" t="s">
        <v>17</v>
      </c>
      <c r="D110" s="8" t="s">
        <v>24</v>
      </c>
      <c r="E110" s="1" t="s">
        <v>33</v>
      </c>
      <c r="F110" s="1">
        <v>16</v>
      </c>
      <c r="G110" s="1">
        <v>3.3000000000000002E-2</v>
      </c>
      <c r="K110" s="1"/>
      <c r="L110" s="3">
        <f>260.53+4.78*Table1[[#This Row],[Thickness '[cm']]]</f>
        <v>337.01</v>
      </c>
      <c r="M110" s="3"/>
      <c r="N110" s="3">
        <f>IFERROR(Table1[[#This Row],[Price '[€']]]/Table1[[#This Row],[Power '[kW']]],)</f>
        <v>0</v>
      </c>
      <c r="O110" s="1" t="s">
        <v>97</v>
      </c>
      <c r="P110" s="15" t="s">
        <v>98</v>
      </c>
      <c r="Q110" s="4"/>
    </row>
    <row r="111" spans="1:17" x14ac:dyDescent="0.2">
      <c r="A111">
        <v>11</v>
      </c>
      <c r="B111" t="s">
        <v>96</v>
      </c>
      <c r="C111" s="8" t="s">
        <v>17</v>
      </c>
      <c r="D111" s="8" t="s">
        <v>23</v>
      </c>
      <c r="E111" s="1" t="s">
        <v>67</v>
      </c>
      <c r="F111" s="1">
        <v>10</v>
      </c>
      <c r="G111" s="1">
        <v>3.4000000000000002E-2</v>
      </c>
      <c r="K111" s="1"/>
      <c r="L111" s="3">
        <f>86.84+2.48*Table1[[#This Row],[Thickness '[cm']]]</f>
        <v>111.64</v>
      </c>
      <c r="M111" s="3"/>
      <c r="N111" s="3">
        <f>IFERROR(Table1[[#This Row],[Price '[€']]]/Table1[[#This Row],[Power '[kW']]],)</f>
        <v>0</v>
      </c>
      <c r="O111" s="1" t="s">
        <v>97</v>
      </c>
      <c r="P111" s="15" t="s">
        <v>98</v>
      </c>
      <c r="Q111" s="4"/>
    </row>
    <row r="112" spans="1:17" x14ac:dyDescent="0.2">
      <c r="A112">
        <v>11</v>
      </c>
      <c r="B112" t="s">
        <v>96</v>
      </c>
      <c r="C112" s="8" t="s">
        <v>17</v>
      </c>
      <c r="D112" s="8" t="s">
        <v>26</v>
      </c>
      <c r="H112" s="1">
        <v>0.95</v>
      </c>
      <c r="K112" s="1"/>
      <c r="L112" s="3">
        <v>598.75</v>
      </c>
      <c r="M112" s="3"/>
      <c r="N112" s="3">
        <f>IFERROR(Table1[[#This Row],[Price '[€']]]/Table1[[#This Row],[Power '[kW']]],)</f>
        <v>0</v>
      </c>
      <c r="O112" s="1" t="s">
        <v>97</v>
      </c>
      <c r="P112" s="15" t="s">
        <v>98</v>
      </c>
      <c r="Q112" s="4"/>
    </row>
    <row r="113" spans="1:17" x14ac:dyDescent="0.2">
      <c r="A113">
        <v>11</v>
      </c>
      <c r="B113" t="s">
        <v>96</v>
      </c>
      <c r="C113" s="8" t="s">
        <v>17</v>
      </c>
      <c r="D113" s="8" t="s">
        <v>19</v>
      </c>
      <c r="I113" s="1">
        <v>20</v>
      </c>
      <c r="K113" s="1"/>
      <c r="L113" s="3"/>
      <c r="M113" s="3">
        <f>1717*Table1[[#This Row],[Power '[kW']]]</f>
        <v>34340</v>
      </c>
      <c r="N113" s="3">
        <f>IFERROR(Table1[[#This Row],[Price '[€']]]/Table1[[#This Row],[Power '[kW']]],)</f>
        <v>1717</v>
      </c>
      <c r="O113" s="1" t="s">
        <v>99</v>
      </c>
      <c r="P113" s="15" t="s">
        <v>100</v>
      </c>
      <c r="Q113" s="4"/>
    </row>
    <row r="114" spans="1:17" x14ac:dyDescent="0.2">
      <c r="A114">
        <v>11</v>
      </c>
      <c r="B114" t="s">
        <v>96</v>
      </c>
      <c r="C114" s="8" t="s">
        <v>17</v>
      </c>
      <c r="D114" s="8" t="s">
        <v>21</v>
      </c>
      <c r="I114" s="1">
        <v>20</v>
      </c>
      <c r="K114" s="1"/>
      <c r="L114" s="3"/>
      <c r="M114" s="3">
        <f>354*Table1[[#This Row],[Power '[kW']]]</f>
        <v>7080</v>
      </c>
      <c r="N114" s="3">
        <f>IFERROR(Table1[[#This Row],[Price '[€']]]/Table1[[#This Row],[Power '[kW']]],)</f>
        <v>354</v>
      </c>
      <c r="O114" s="1" t="s">
        <v>99</v>
      </c>
      <c r="P114" s="15" t="s">
        <v>100</v>
      </c>
      <c r="Q114" s="4"/>
    </row>
    <row r="115" spans="1:17" x14ac:dyDescent="0.2">
      <c r="A115">
        <v>11</v>
      </c>
      <c r="B115" t="s">
        <v>96</v>
      </c>
      <c r="C115" s="8" t="s">
        <v>17</v>
      </c>
      <c r="D115" s="8" t="s">
        <v>25</v>
      </c>
      <c r="I115" s="1">
        <v>5.7</v>
      </c>
      <c r="K115" s="1"/>
      <c r="L115" s="3"/>
      <c r="M115" s="3">
        <v>7695</v>
      </c>
      <c r="N115" s="3">
        <v>1350</v>
      </c>
      <c r="O115" s="1" t="s">
        <v>101</v>
      </c>
      <c r="P115" s="13" t="s">
        <v>102</v>
      </c>
      <c r="Q115" s="4"/>
    </row>
    <row r="116" spans="1:17" x14ac:dyDescent="0.2">
      <c r="A116">
        <v>11</v>
      </c>
      <c r="B116" t="s">
        <v>96</v>
      </c>
      <c r="C116" s="8" t="s">
        <v>17</v>
      </c>
      <c r="D116" s="1" t="s">
        <v>29</v>
      </c>
      <c r="I116" s="1">
        <v>10</v>
      </c>
      <c r="J116" s="1">
        <v>17.8</v>
      </c>
      <c r="K116" s="1">
        <v>500</v>
      </c>
      <c r="L116" s="3"/>
      <c r="M116" s="3">
        <f>904*Table1[[#This Row],[Power '[kW']]]+Table1[[#This Row],[Capacity '[l']]]*2</f>
        <v>10040</v>
      </c>
      <c r="N116" s="3">
        <f>IFERROR(Table1[[#This Row],[Price '[€']]]/Table1[[#This Row],[Power '[kW']]],)</f>
        <v>1004</v>
      </c>
      <c r="O116" s="1" t="s">
        <v>99</v>
      </c>
      <c r="P116" s="15" t="s">
        <v>100</v>
      </c>
      <c r="Q116" s="4"/>
    </row>
    <row r="117" spans="1:17" x14ac:dyDescent="0.2">
      <c r="A117">
        <v>12</v>
      </c>
      <c r="B117" t="s">
        <v>103</v>
      </c>
      <c r="C117" s="1" t="s">
        <v>17</v>
      </c>
      <c r="D117" s="1" t="s">
        <v>18</v>
      </c>
      <c r="E117" s="1" t="s">
        <v>51</v>
      </c>
      <c r="F117" s="1">
        <v>7</v>
      </c>
      <c r="G117" s="1">
        <v>3.5000000000000003E-2</v>
      </c>
      <c r="K117" s="1"/>
      <c r="L117" s="3">
        <v>40.119999999999997</v>
      </c>
      <c r="M117" s="3"/>
      <c r="N117" s="3">
        <f>IFERROR(Table1[[#This Row],[Price '[€']]]/Table1[[#This Row],[Power '[kW']]],)</f>
        <v>0</v>
      </c>
      <c r="O117" s="1" t="s">
        <v>104</v>
      </c>
      <c r="P117" s="13" t="s">
        <v>105</v>
      </c>
      <c r="Q117" s="4"/>
    </row>
    <row r="118" spans="1:17" x14ac:dyDescent="0.2">
      <c r="A118">
        <v>12</v>
      </c>
      <c r="B118" t="s">
        <v>103</v>
      </c>
      <c r="C118" s="1" t="s">
        <v>17</v>
      </c>
      <c r="D118" s="1" t="s">
        <v>20</v>
      </c>
      <c r="K118" s="1"/>
      <c r="L118" s="3"/>
      <c r="M118" s="3"/>
      <c r="N118" s="3">
        <f>IFERROR(Table1[[#This Row],[Price '[€']]]/Table1[[#This Row],[Power '[kW']]],)</f>
        <v>0</v>
      </c>
      <c r="Q118" s="4"/>
    </row>
    <row r="119" spans="1:17" x14ac:dyDescent="0.2">
      <c r="A119">
        <v>12</v>
      </c>
      <c r="B119" t="s">
        <v>103</v>
      </c>
      <c r="C119" s="1" t="s">
        <v>17</v>
      </c>
      <c r="D119" s="1" t="s">
        <v>22</v>
      </c>
      <c r="E119" s="1" t="s">
        <v>67</v>
      </c>
      <c r="F119" s="1">
        <v>5</v>
      </c>
      <c r="G119" s="1">
        <v>3.4500000000000003E-2</v>
      </c>
      <c r="K119" s="1"/>
      <c r="L119" s="3">
        <v>14.5</v>
      </c>
      <c r="M119" s="3"/>
      <c r="N119" s="3">
        <f>IFERROR(Table1[[#This Row],[Price '[€']]]/Table1[[#This Row],[Power '[kW']]],)</f>
        <v>0</v>
      </c>
      <c r="O119" s="1" t="s">
        <v>106</v>
      </c>
      <c r="P119" s="13" t="s">
        <v>107</v>
      </c>
      <c r="Q119" s="4"/>
    </row>
    <row r="120" spans="1:17" x14ac:dyDescent="0.2">
      <c r="A120">
        <v>12</v>
      </c>
      <c r="B120" t="s">
        <v>103</v>
      </c>
      <c r="C120" s="1" t="s">
        <v>17</v>
      </c>
      <c r="D120" s="1" t="s">
        <v>24</v>
      </c>
      <c r="E120" s="1" t="s">
        <v>67</v>
      </c>
      <c r="F120" s="1">
        <v>5</v>
      </c>
      <c r="G120" s="1">
        <v>3.4500000000000003E-2</v>
      </c>
      <c r="K120" s="1"/>
      <c r="L120" s="3">
        <v>154.35</v>
      </c>
      <c r="M120" s="3"/>
      <c r="N120" s="3">
        <f>IFERROR(Table1[[#This Row],[Price '[€']]]/Table1[[#This Row],[Power '[kW']]],)</f>
        <v>0</v>
      </c>
      <c r="O120" s="1" t="s">
        <v>108</v>
      </c>
      <c r="P120" s="13" t="s">
        <v>109</v>
      </c>
      <c r="Q120" s="4"/>
    </row>
    <row r="121" spans="1:17" x14ac:dyDescent="0.2">
      <c r="A121">
        <v>12</v>
      </c>
      <c r="B121" t="s">
        <v>103</v>
      </c>
      <c r="C121" s="1" t="s">
        <v>17</v>
      </c>
      <c r="D121" s="1" t="s">
        <v>23</v>
      </c>
      <c r="E121" s="1" t="s">
        <v>33</v>
      </c>
      <c r="F121" s="1">
        <v>5</v>
      </c>
      <c r="G121" s="1">
        <v>3.7999999999999999E-2</v>
      </c>
      <c r="K121" s="1"/>
      <c r="L121" s="3">
        <v>93.2</v>
      </c>
      <c r="M121" s="3"/>
      <c r="N121" s="3">
        <f>IFERROR(Table1[[#This Row],[Price '[€']]]/Table1[[#This Row],[Power '[kW']]],)</f>
        <v>0</v>
      </c>
      <c r="O121" s="1" t="s">
        <v>110</v>
      </c>
      <c r="P121" s="13" t="s">
        <v>109</v>
      </c>
      <c r="Q121" s="4"/>
    </row>
    <row r="122" spans="1:17" x14ac:dyDescent="0.2">
      <c r="A122">
        <v>12</v>
      </c>
      <c r="B122" t="s">
        <v>103</v>
      </c>
      <c r="C122" s="1" t="s">
        <v>17</v>
      </c>
      <c r="D122" s="1" t="s">
        <v>26</v>
      </c>
      <c r="E122" s="1" t="s">
        <v>111</v>
      </c>
      <c r="H122" s="1">
        <v>2.6</v>
      </c>
      <c r="K122" s="1"/>
      <c r="L122" s="3">
        <v>384</v>
      </c>
      <c r="M122" s="3"/>
      <c r="N122" s="3">
        <f>IFERROR(Table1[[#This Row],[Price '[€']]]/Table1[[#This Row],[Power '[kW']]],)</f>
        <v>0</v>
      </c>
      <c r="O122" s="1" t="s">
        <v>110</v>
      </c>
      <c r="P122" s="13" t="s">
        <v>109</v>
      </c>
      <c r="Q122" s="4"/>
    </row>
    <row r="123" spans="1:17" x14ac:dyDescent="0.2">
      <c r="A123">
        <v>12</v>
      </c>
      <c r="B123" t="s">
        <v>103</v>
      </c>
      <c r="C123" s="1" t="s">
        <v>17</v>
      </c>
      <c r="D123" s="1" t="s">
        <v>26</v>
      </c>
      <c r="E123" s="1" t="s">
        <v>88</v>
      </c>
      <c r="H123" s="1">
        <v>2.8</v>
      </c>
      <c r="K123" s="1"/>
      <c r="L123" s="3">
        <v>173</v>
      </c>
      <c r="M123" s="3"/>
      <c r="N123" s="3">
        <f>IFERROR(Table1[[#This Row],[Price '[€']]]/Table1[[#This Row],[Power '[kW']]],)</f>
        <v>0</v>
      </c>
      <c r="O123" s="1" t="s">
        <v>207</v>
      </c>
      <c r="P123" s="13"/>
      <c r="Q123" s="4"/>
    </row>
    <row r="124" spans="1:17" x14ac:dyDescent="0.2">
      <c r="A124">
        <v>12</v>
      </c>
      <c r="B124" t="s">
        <v>103</v>
      </c>
      <c r="C124" s="1" t="s">
        <v>17</v>
      </c>
      <c r="D124" s="1" t="s">
        <v>19</v>
      </c>
      <c r="I124" s="1">
        <v>5</v>
      </c>
      <c r="K124" s="1"/>
      <c r="L124" s="1"/>
      <c r="M124" s="3">
        <v>921.77</v>
      </c>
      <c r="N124" s="3">
        <f>IFERROR(Table1[[#This Row],[Price '[€']]]/Table1[[#This Row],[Power '[kW']]],)</f>
        <v>184.35399999999998</v>
      </c>
      <c r="O124" s="1" t="s">
        <v>112</v>
      </c>
      <c r="P124" s="13" t="s">
        <v>113</v>
      </c>
      <c r="Q124" s="4"/>
    </row>
    <row r="125" spans="1:17" x14ac:dyDescent="0.2">
      <c r="A125">
        <v>12</v>
      </c>
      <c r="B125" t="s">
        <v>103</v>
      </c>
      <c r="C125" s="1" t="s">
        <v>17</v>
      </c>
      <c r="D125" s="1" t="s">
        <v>21</v>
      </c>
      <c r="I125" s="1">
        <v>28</v>
      </c>
      <c r="K125" s="1"/>
      <c r="L125" s="3"/>
      <c r="M125" s="3">
        <v>2084.04</v>
      </c>
      <c r="N125" s="3">
        <f>IFERROR(Table1[[#This Row],[Price '[€']]]/Table1[[#This Row],[Power '[kW']]],)</f>
        <v>74.429999999999993</v>
      </c>
      <c r="O125" s="1" t="s">
        <v>114</v>
      </c>
      <c r="P125" s="13" t="s">
        <v>115</v>
      </c>
      <c r="Q125" s="4"/>
    </row>
    <row r="126" spans="1:17" x14ac:dyDescent="0.2">
      <c r="A126">
        <v>12</v>
      </c>
      <c r="B126" t="s">
        <v>103</v>
      </c>
      <c r="C126" s="1" t="s">
        <v>17</v>
      </c>
      <c r="D126" s="1" t="s">
        <v>25</v>
      </c>
      <c r="K126" s="1"/>
      <c r="L126" s="3"/>
      <c r="M126" s="3"/>
      <c r="N126" s="3">
        <v>810</v>
      </c>
      <c r="O126" s="1" t="s">
        <v>30</v>
      </c>
      <c r="P126" s="12" t="s">
        <v>31</v>
      </c>
      <c r="Q126" s="4"/>
    </row>
    <row r="127" spans="1:17" x14ac:dyDescent="0.2">
      <c r="A127">
        <v>12</v>
      </c>
      <c r="B127" t="s">
        <v>103</v>
      </c>
      <c r="C127" s="1" t="s">
        <v>17</v>
      </c>
      <c r="D127" s="1" t="s">
        <v>29</v>
      </c>
      <c r="I127" s="1">
        <v>4.2</v>
      </c>
      <c r="K127" s="1"/>
      <c r="L127" s="3"/>
      <c r="M127" s="3">
        <v>2142.5100000000002</v>
      </c>
      <c r="N127" s="3">
        <f>IFERROR(Table1[[#This Row],[Price '[€']]]/Table1[[#This Row],[Power '[kW']]],)</f>
        <v>510.12142857142862</v>
      </c>
      <c r="O127" s="1" t="s">
        <v>116</v>
      </c>
      <c r="P127" s="13" t="s">
        <v>117</v>
      </c>
      <c r="Q127" s="4"/>
    </row>
    <row r="128" spans="1:17" x14ac:dyDescent="0.2">
      <c r="A128">
        <v>13</v>
      </c>
      <c r="B128" t="s">
        <v>118</v>
      </c>
      <c r="C128" s="8" t="s">
        <v>17</v>
      </c>
      <c r="D128" s="8" t="s">
        <v>18</v>
      </c>
      <c r="F128" s="1">
        <v>6</v>
      </c>
      <c r="G128" s="1">
        <v>3.7999999999999999E-2</v>
      </c>
      <c r="K128" s="3"/>
      <c r="L128" s="3">
        <v>112.01</v>
      </c>
      <c r="M128" s="1"/>
      <c r="N128" s="9">
        <f>IFERROR(Table1[[#This Row],[Price '[€']]]/Table1[[#This Row],[Power '[kW']]],)</f>
        <v>0</v>
      </c>
      <c r="O128" s="1" t="s">
        <v>207</v>
      </c>
      <c r="Q128" s="4"/>
    </row>
    <row r="129" spans="1:17" x14ac:dyDescent="0.2">
      <c r="A129">
        <v>13</v>
      </c>
      <c r="B129" t="s">
        <v>118</v>
      </c>
      <c r="C129" s="8" t="s">
        <v>17</v>
      </c>
      <c r="D129" s="8" t="s">
        <v>20</v>
      </c>
      <c r="F129" s="1">
        <v>1</v>
      </c>
      <c r="G129" s="1">
        <v>3.7999999999999999E-2</v>
      </c>
      <c r="K129" s="3"/>
      <c r="L129" s="3">
        <v>2.92</v>
      </c>
      <c r="M129" s="1"/>
      <c r="N129" s="9">
        <f>IFERROR(Table1[[#This Row],[Price '[€']]]/Table1[[#This Row],[Power '[kW']]],)</f>
        <v>0</v>
      </c>
      <c r="O129" s="1" t="s">
        <v>207</v>
      </c>
      <c r="Q129" s="4"/>
    </row>
    <row r="130" spans="1:17" x14ac:dyDescent="0.2">
      <c r="A130">
        <v>13</v>
      </c>
      <c r="B130" t="s">
        <v>118</v>
      </c>
      <c r="C130" s="8" t="s">
        <v>17</v>
      </c>
      <c r="D130" s="8" t="s">
        <v>22</v>
      </c>
      <c r="F130" s="1">
        <v>6</v>
      </c>
      <c r="G130" s="1">
        <v>3.7999999999999999E-2</v>
      </c>
      <c r="K130" s="3"/>
      <c r="L130" s="3">
        <v>213.24</v>
      </c>
      <c r="M130" s="1"/>
      <c r="N130" s="9">
        <f>IFERROR(Table1[[#This Row],[Price '[€']]]/Table1[[#This Row],[Power '[kW']]],)</f>
        <v>0</v>
      </c>
      <c r="O130" s="1" t="s">
        <v>207</v>
      </c>
      <c r="Q130" s="4"/>
    </row>
    <row r="131" spans="1:17" x14ac:dyDescent="0.2">
      <c r="A131">
        <v>13</v>
      </c>
      <c r="B131" t="s">
        <v>118</v>
      </c>
      <c r="C131" s="8" t="s">
        <v>17</v>
      </c>
      <c r="D131" s="8" t="s">
        <v>24</v>
      </c>
      <c r="F131" s="1">
        <v>6</v>
      </c>
      <c r="G131" s="1">
        <v>3.7999999999999999E-2</v>
      </c>
      <c r="K131" s="3"/>
      <c r="L131" s="3">
        <v>182.82</v>
      </c>
      <c r="M131" s="1"/>
      <c r="N131" s="9">
        <f>IFERROR(Table1[[#This Row],[Price '[€']]]/Table1[[#This Row],[Power '[kW']]],)</f>
        <v>0</v>
      </c>
      <c r="O131" s="1" t="s">
        <v>207</v>
      </c>
      <c r="Q131" s="4"/>
    </row>
    <row r="132" spans="1:17" x14ac:dyDescent="0.2">
      <c r="A132">
        <v>13</v>
      </c>
      <c r="B132" t="s">
        <v>118</v>
      </c>
      <c r="C132" s="8" t="s">
        <v>17</v>
      </c>
      <c r="D132" s="8" t="s">
        <v>23</v>
      </c>
      <c r="F132" s="1">
        <v>6</v>
      </c>
      <c r="G132" s="1">
        <v>3.7999999999999999E-2</v>
      </c>
      <c r="K132" s="3"/>
      <c r="L132" s="3">
        <v>53.16</v>
      </c>
      <c r="M132" s="1"/>
      <c r="N132" s="9">
        <f>IFERROR(Table1[[#This Row],[Price '[€']]]/Table1[[#This Row],[Power '[kW']]],)</f>
        <v>0</v>
      </c>
      <c r="O132" s="1" t="s">
        <v>207</v>
      </c>
      <c r="Q132" s="4"/>
    </row>
    <row r="133" spans="1:17" x14ac:dyDescent="0.2">
      <c r="A133">
        <v>13</v>
      </c>
      <c r="B133" t="s">
        <v>118</v>
      </c>
      <c r="C133" s="8" t="s">
        <v>17</v>
      </c>
      <c r="D133" s="8" t="s">
        <v>26</v>
      </c>
      <c r="H133" s="1">
        <v>0.95</v>
      </c>
      <c r="K133" s="3"/>
      <c r="L133" s="3">
        <v>422.54</v>
      </c>
      <c r="M133" s="1"/>
      <c r="N133" s="9">
        <f>IFERROR(Table1[[#This Row],[Price '[€']]]/Table1[[#This Row],[Power '[kW']]],)</f>
        <v>0</v>
      </c>
      <c r="O133" s="1" t="s">
        <v>207</v>
      </c>
      <c r="Q133" s="4"/>
    </row>
    <row r="134" spans="1:17" x14ac:dyDescent="0.2">
      <c r="A134">
        <v>13</v>
      </c>
      <c r="B134" t="s">
        <v>118</v>
      </c>
      <c r="C134" s="8" t="s">
        <v>17</v>
      </c>
      <c r="D134" s="8" t="s">
        <v>19</v>
      </c>
      <c r="I134" s="1">
        <v>7</v>
      </c>
      <c r="K134" s="3"/>
      <c r="L134" s="3"/>
      <c r="M134" s="10">
        <v>9394.23</v>
      </c>
      <c r="N134" s="9">
        <f>IFERROR(Table1[[#This Row],[Price '[€']]]/Table1[[#This Row],[Power '[kW']]],)</f>
        <v>1342.032857142857</v>
      </c>
      <c r="O134" s="1" t="s">
        <v>27</v>
      </c>
      <c r="P134" s="11" t="s">
        <v>28</v>
      </c>
      <c r="Q134" s="4"/>
    </row>
    <row r="135" spans="1:17" x14ac:dyDescent="0.2">
      <c r="A135">
        <v>13</v>
      </c>
      <c r="B135" t="s">
        <v>118</v>
      </c>
      <c r="C135" s="8" t="s">
        <v>17</v>
      </c>
      <c r="D135" s="8" t="s">
        <v>21</v>
      </c>
      <c r="I135" s="1">
        <v>14</v>
      </c>
      <c r="K135" s="3"/>
      <c r="L135" s="3"/>
      <c r="M135" s="10">
        <v>3176.41</v>
      </c>
      <c r="N135" s="9">
        <f>IFERROR(Table1[[#This Row],[Price '[€']]]/Table1[[#This Row],[Power '[kW']]],)</f>
        <v>226.88642857142855</v>
      </c>
      <c r="O135" s="1" t="s">
        <v>27</v>
      </c>
      <c r="P135" s="1" t="s">
        <v>28</v>
      </c>
      <c r="Q135" s="4"/>
    </row>
    <row r="136" spans="1:17" x14ac:dyDescent="0.2">
      <c r="A136">
        <v>13</v>
      </c>
      <c r="B136" t="s">
        <v>118</v>
      </c>
      <c r="C136" s="8" t="s">
        <v>17</v>
      </c>
      <c r="D136" s="8" t="s">
        <v>25</v>
      </c>
      <c r="K136" s="3"/>
      <c r="L136" s="3"/>
      <c r="M136" s="1"/>
      <c r="N136" s="9">
        <v>2410</v>
      </c>
      <c r="O136" s="1" t="s">
        <v>30</v>
      </c>
      <c r="P136" s="12" t="s">
        <v>31</v>
      </c>
      <c r="Q136" s="4"/>
    </row>
    <row r="137" spans="1:17" x14ac:dyDescent="0.2">
      <c r="A137">
        <v>13</v>
      </c>
      <c r="B137" t="s">
        <v>118</v>
      </c>
      <c r="C137" s="8" t="s">
        <v>17</v>
      </c>
      <c r="D137" s="1" t="s">
        <v>29</v>
      </c>
      <c r="I137" s="1">
        <v>4.2</v>
      </c>
      <c r="K137" s="3"/>
      <c r="L137" s="3"/>
      <c r="M137" s="1">
        <v>2042.21</v>
      </c>
      <c r="N137" s="9">
        <f>IFERROR(Table1[[#This Row],[Price '[€']]]/Table1[[#This Row],[Power '[kW']]],)</f>
        <v>486.24047619047616</v>
      </c>
      <c r="O137" s="1" t="s">
        <v>27</v>
      </c>
      <c r="P137" s="1" t="s">
        <v>28</v>
      </c>
      <c r="Q137" s="4"/>
    </row>
    <row r="138" spans="1:17" x14ac:dyDescent="0.2">
      <c r="A138">
        <v>14</v>
      </c>
      <c r="B138" t="s">
        <v>119</v>
      </c>
      <c r="C138" s="8" t="s">
        <v>17</v>
      </c>
      <c r="D138" s="8" t="s">
        <v>18</v>
      </c>
      <c r="E138" s="1" t="s">
        <v>51</v>
      </c>
      <c r="F138" s="1">
        <v>10</v>
      </c>
      <c r="G138" s="1">
        <v>3.7999999999999999E-2</v>
      </c>
      <c r="K138" s="3"/>
      <c r="L138" s="3">
        <v>100</v>
      </c>
      <c r="M138" s="1"/>
      <c r="N138" s="9">
        <f>IFERROR(Table1[[#This Row],[Price '[€']]]/Table1[[#This Row],[Power '[kW']]],)</f>
        <v>0</v>
      </c>
      <c r="O138" s="1" t="s">
        <v>213</v>
      </c>
      <c r="P138" s="13" t="s">
        <v>120</v>
      </c>
      <c r="Q138" s="4"/>
    </row>
    <row r="139" spans="1:17" x14ac:dyDescent="0.2">
      <c r="A139">
        <v>14</v>
      </c>
      <c r="B139" t="s">
        <v>119</v>
      </c>
      <c r="C139" s="8" t="s">
        <v>17</v>
      </c>
      <c r="D139" s="8" t="s">
        <v>20</v>
      </c>
      <c r="K139" s="3"/>
      <c r="L139" s="3"/>
      <c r="M139" s="3"/>
      <c r="N139" s="3">
        <f>IFERROR(Table1[[#This Row],[Price '[€']]]/Table1[[#This Row],[Power '[kW']]],)</f>
        <v>0</v>
      </c>
      <c r="Q139" s="4"/>
    </row>
    <row r="140" spans="1:17" x14ac:dyDescent="0.2">
      <c r="A140">
        <v>14</v>
      </c>
      <c r="B140" t="s">
        <v>119</v>
      </c>
      <c r="C140" s="8" t="s">
        <v>17</v>
      </c>
      <c r="D140" s="8" t="s">
        <v>22</v>
      </c>
      <c r="E140" s="1" t="s">
        <v>38</v>
      </c>
      <c r="F140" s="1">
        <v>10</v>
      </c>
      <c r="G140" s="1">
        <v>3.7999999999999999E-2</v>
      </c>
      <c r="K140" s="3"/>
      <c r="L140" s="3">
        <v>35</v>
      </c>
      <c r="M140" s="3"/>
      <c r="N140" s="3">
        <f>IFERROR(Table1[[#This Row],[Price '[€']]]/Table1[[#This Row],[Power '[kW']]],)</f>
        <v>0</v>
      </c>
      <c r="O140" s="1" t="s">
        <v>213</v>
      </c>
      <c r="P140" s="13" t="s">
        <v>121</v>
      </c>
      <c r="Q140" s="4"/>
    </row>
    <row r="141" spans="1:17" x14ac:dyDescent="0.2">
      <c r="A141">
        <v>14</v>
      </c>
      <c r="B141" t="s">
        <v>119</v>
      </c>
      <c r="C141" s="8" t="s">
        <v>17</v>
      </c>
      <c r="D141" s="8" t="s">
        <v>24</v>
      </c>
      <c r="E141" s="1" t="s">
        <v>33</v>
      </c>
      <c r="F141" s="1">
        <v>10</v>
      </c>
      <c r="G141" s="1">
        <v>3.7999999999999999E-2</v>
      </c>
      <c r="K141" s="3"/>
      <c r="L141" s="3">
        <v>80</v>
      </c>
      <c r="M141" s="3"/>
      <c r="N141" s="3">
        <f>IFERROR(Table1[[#This Row],[Price '[€']]]/Table1[[#This Row],[Power '[kW']]],)</f>
        <v>0</v>
      </c>
      <c r="O141" s="1" t="s">
        <v>213</v>
      </c>
      <c r="P141" s="13" t="s">
        <v>121</v>
      </c>
      <c r="Q141" s="4"/>
    </row>
    <row r="142" spans="1:17" x14ac:dyDescent="0.2">
      <c r="A142">
        <v>14</v>
      </c>
      <c r="B142" t="s">
        <v>119</v>
      </c>
      <c r="C142" s="8" t="s">
        <v>17</v>
      </c>
      <c r="D142" s="8" t="s">
        <v>23</v>
      </c>
      <c r="E142" s="1" t="s">
        <v>33</v>
      </c>
      <c r="F142" s="1">
        <v>8</v>
      </c>
      <c r="G142" s="1">
        <v>3.7999999999999999E-2</v>
      </c>
      <c r="K142" s="3"/>
      <c r="L142" s="3">
        <v>50</v>
      </c>
      <c r="M142" s="3"/>
      <c r="N142" s="3">
        <f>IFERROR(Table1[[#This Row],[Price '[€']]]/Table1[[#This Row],[Power '[kW']]],)</f>
        <v>0</v>
      </c>
      <c r="O142" s="1" t="s">
        <v>213</v>
      </c>
      <c r="P142" s="13" t="s">
        <v>121</v>
      </c>
      <c r="Q142" s="4"/>
    </row>
    <row r="143" spans="1:17" x14ac:dyDescent="0.2">
      <c r="A143">
        <v>14</v>
      </c>
      <c r="B143" t="s">
        <v>119</v>
      </c>
      <c r="C143" s="8" t="s">
        <v>17</v>
      </c>
      <c r="D143" s="8" t="s">
        <v>26</v>
      </c>
      <c r="H143" s="1">
        <v>1.3</v>
      </c>
      <c r="K143" s="3"/>
      <c r="L143" s="3">
        <v>490</v>
      </c>
      <c r="M143" s="3"/>
      <c r="N143" s="3">
        <f>IFERROR(Table1[[#This Row],[Price '[€']]]/Table1[[#This Row],[Power '[kW']]],)</f>
        <v>0</v>
      </c>
      <c r="O143" s="1" t="s">
        <v>122</v>
      </c>
      <c r="P143" s="13" t="s">
        <v>123</v>
      </c>
      <c r="Q143" s="4"/>
    </row>
    <row r="144" spans="1:17" x14ac:dyDescent="0.2">
      <c r="A144">
        <v>14</v>
      </c>
      <c r="B144" t="s">
        <v>119</v>
      </c>
      <c r="C144" s="8" t="s">
        <v>17</v>
      </c>
      <c r="D144" s="8" t="s">
        <v>19</v>
      </c>
      <c r="I144" s="1">
        <v>7</v>
      </c>
      <c r="K144" s="3"/>
      <c r="L144" s="3"/>
      <c r="M144" s="3">
        <v>12276.47</v>
      </c>
      <c r="N144" s="3">
        <f>IFERROR(Table1[[#This Row],[Price '[€']]]/Table1[[#This Row],[Power '[kW']]],)</f>
        <v>1753.7814285714285</v>
      </c>
      <c r="O144" s="1" t="s">
        <v>27</v>
      </c>
      <c r="P144" s="11" t="s">
        <v>28</v>
      </c>
      <c r="Q144" s="4"/>
    </row>
    <row r="145" spans="1:17" x14ac:dyDescent="0.2">
      <c r="A145">
        <v>14</v>
      </c>
      <c r="B145" t="s">
        <v>119</v>
      </c>
      <c r="C145" s="8" t="s">
        <v>17</v>
      </c>
      <c r="D145" s="8" t="s">
        <v>21</v>
      </c>
      <c r="I145" s="1">
        <v>14</v>
      </c>
      <c r="K145" s="3"/>
      <c r="L145" s="3"/>
      <c r="M145" s="3">
        <v>4150.96</v>
      </c>
      <c r="N145" s="3">
        <f>IFERROR(Table1[[#This Row],[Price '[€']]]/Table1[[#This Row],[Power '[kW']]],)</f>
        <v>296.49714285714288</v>
      </c>
      <c r="O145" s="1" t="s">
        <v>124</v>
      </c>
      <c r="P145" s="13" t="s">
        <v>125</v>
      </c>
      <c r="Q145" s="4"/>
    </row>
    <row r="146" spans="1:17" x14ac:dyDescent="0.2">
      <c r="A146">
        <v>14</v>
      </c>
      <c r="B146" t="s">
        <v>119</v>
      </c>
      <c r="C146" s="8" t="s">
        <v>17</v>
      </c>
      <c r="D146" s="8" t="s">
        <v>25</v>
      </c>
      <c r="K146" s="3"/>
      <c r="L146" s="3"/>
      <c r="M146" s="3"/>
      <c r="N146" s="3">
        <v>1350</v>
      </c>
      <c r="O146" s="1" t="s">
        <v>30</v>
      </c>
      <c r="P146" s="12" t="s">
        <v>31</v>
      </c>
      <c r="Q146" s="4"/>
    </row>
    <row r="147" spans="1:17" x14ac:dyDescent="0.2">
      <c r="A147">
        <v>14</v>
      </c>
      <c r="B147" t="s">
        <v>119</v>
      </c>
      <c r="C147" s="8" t="s">
        <v>17</v>
      </c>
      <c r="D147" s="1" t="s">
        <v>29</v>
      </c>
      <c r="I147" s="1">
        <v>4.2</v>
      </c>
      <c r="K147" s="1"/>
      <c r="L147" s="3"/>
      <c r="M147" s="1">
        <v>2912.53</v>
      </c>
      <c r="N147" s="9">
        <f>IFERROR(Table1[[#This Row],[Price '[€']]]/Table1[[#This Row],[Power '[kW']]],)</f>
        <v>693.45952380952383</v>
      </c>
      <c r="O147" s="1" t="s">
        <v>27</v>
      </c>
      <c r="P147" s="1" t="s">
        <v>28</v>
      </c>
      <c r="Q147" s="4"/>
    </row>
    <row r="148" spans="1:17" x14ac:dyDescent="0.2">
      <c r="A148">
        <v>15</v>
      </c>
      <c r="B148" t="s">
        <v>126</v>
      </c>
      <c r="C148" s="1" t="s">
        <v>127</v>
      </c>
      <c r="D148" s="1" t="s">
        <v>18</v>
      </c>
      <c r="E148" s="1" t="s">
        <v>33</v>
      </c>
      <c r="F148" s="1">
        <v>5</v>
      </c>
      <c r="G148" s="1">
        <v>3.5999999999999997E-2</v>
      </c>
      <c r="K148" s="1"/>
      <c r="L148" s="3">
        <v>93.49</v>
      </c>
      <c r="M148" s="3"/>
      <c r="N148" s="3">
        <f>IFERROR(Table1[[#This Row],[Price '[€']]]/Table1[[#This Row],[Power '[kW']]],)</f>
        <v>0</v>
      </c>
      <c r="O148" s="1" t="s">
        <v>128</v>
      </c>
      <c r="P148" s="13" t="s">
        <v>129</v>
      </c>
      <c r="Q148" s="4"/>
    </row>
    <row r="149" spans="1:17" x14ac:dyDescent="0.2">
      <c r="A149">
        <v>15</v>
      </c>
      <c r="B149" t="s">
        <v>126</v>
      </c>
      <c r="C149" s="1" t="s">
        <v>127</v>
      </c>
      <c r="D149" s="1" t="s">
        <v>20</v>
      </c>
      <c r="F149" s="1">
        <v>2</v>
      </c>
      <c r="G149" s="1">
        <v>3.5999999999999997E-2</v>
      </c>
      <c r="K149" s="1"/>
      <c r="L149" s="3">
        <v>4.8099999999999996</v>
      </c>
      <c r="M149" s="3"/>
      <c r="N149" s="3">
        <f>IFERROR(Table1[[#This Row],[Price '[€']]]/Table1[[#This Row],[Power '[kW']]],)</f>
        <v>0</v>
      </c>
      <c r="O149" s="1" t="s">
        <v>128</v>
      </c>
      <c r="P149" s="13" t="s">
        <v>129</v>
      </c>
      <c r="Q149" s="4"/>
    </row>
    <row r="150" spans="1:17" x14ac:dyDescent="0.2">
      <c r="A150">
        <v>15</v>
      </c>
      <c r="B150" t="s">
        <v>126</v>
      </c>
      <c r="C150" s="1" t="s">
        <v>127</v>
      </c>
      <c r="D150" s="1" t="s">
        <v>22</v>
      </c>
      <c r="E150" s="1" t="s">
        <v>85</v>
      </c>
      <c r="F150" s="1">
        <v>6</v>
      </c>
      <c r="G150" s="1">
        <v>2.5999999999999999E-2</v>
      </c>
      <c r="K150" s="1"/>
      <c r="L150" s="3">
        <v>31.98</v>
      </c>
      <c r="M150" s="3"/>
      <c r="N150" s="3">
        <f>IFERROR(Table1[[#This Row],[Price '[€']]]/Table1[[#This Row],[Power '[kW']]],)</f>
        <v>0</v>
      </c>
      <c r="O150" s="1" t="s">
        <v>128</v>
      </c>
      <c r="P150" s="13" t="s">
        <v>129</v>
      </c>
      <c r="Q150" s="4"/>
    </row>
    <row r="151" spans="1:17" x14ac:dyDescent="0.2">
      <c r="A151">
        <v>15</v>
      </c>
      <c r="B151" t="s">
        <v>126</v>
      </c>
      <c r="C151" s="1" t="s">
        <v>127</v>
      </c>
      <c r="D151" s="1" t="s">
        <v>24</v>
      </c>
      <c r="E151" s="1" t="s">
        <v>85</v>
      </c>
      <c r="F151" s="1">
        <v>6</v>
      </c>
      <c r="G151" s="1">
        <v>2.5999999999999999E-2</v>
      </c>
      <c r="K151" s="1"/>
      <c r="L151" s="3">
        <v>159.80000000000001</v>
      </c>
      <c r="M151" s="3"/>
      <c r="N151" s="3">
        <f>IFERROR(Table1[[#This Row],[Price '[€']]]/Table1[[#This Row],[Power '[kW']]],)</f>
        <v>0</v>
      </c>
      <c r="O151" s="1" t="s">
        <v>130</v>
      </c>
      <c r="P151" s="13" t="s">
        <v>129</v>
      </c>
      <c r="Q151" s="4"/>
    </row>
    <row r="152" spans="1:17" x14ac:dyDescent="0.2">
      <c r="A152">
        <v>15</v>
      </c>
      <c r="B152" t="s">
        <v>126</v>
      </c>
      <c r="C152" s="1" t="s">
        <v>127</v>
      </c>
      <c r="D152" s="1" t="s">
        <v>23</v>
      </c>
      <c r="E152" s="1" t="s">
        <v>51</v>
      </c>
      <c r="F152" s="1">
        <v>3</v>
      </c>
      <c r="G152" s="1">
        <v>3.5999999999999997E-2</v>
      </c>
      <c r="K152" s="1"/>
      <c r="L152" s="3">
        <v>109.83</v>
      </c>
      <c r="M152" s="3"/>
      <c r="N152" s="3">
        <f>IFERROR(Table1[[#This Row],[Price '[€']]]/Table1[[#This Row],[Power '[kW']]],)</f>
        <v>0</v>
      </c>
      <c r="O152" s="1" t="s">
        <v>131</v>
      </c>
      <c r="P152" s="13" t="s">
        <v>129</v>
      </c>
      <c r="Q152" s="4"/>
    </row>
    <row r="153" spans="1:17" x14ac:dyDescent="0.2">
      <c r="A153">
        <v>15</v>
      </c>
      <c r="B153" t="s">
        <v>126</v>
      </c>
      <c r="C153" s="1" t="s">
        <v>127</v>
      </c>
      <c r="D153" s="1" t="s">
        <v>26</v>
      </c>
      <c r="E153" s="1" t="s">
        <v>43</v>
      </c>
      <c r="H153" s="1">
        <v>1</v>
      </c>
      <c r="K153" s="1"/>
      <c r="L153" s="3">
        <v>654.36</v>
      </c>
      <c r="M153" s="3"/>
      <c r="N153" s="3">
        <f>IFERROR(Table1[[#This Row],[Price '[€']]]/Table1[[#This Row],[Power '[kW']]],)</f>
        <v>0</v>
      </c>
      <c r="O153" s="1" t="s">
        <v>131</v>
      </c>
      <c r="P153" s="13" t="s">
        <v>129</v>
      </c>
      <c r="Q153" s="4"/>
    </row>
    <row r="154" spans="1:17" x14ac:dyDescent="0.2">
      <c r="A154">
        <v>15</v>
      </c>
      <c r="B154" t="s">
        <v>126</v>
      </c>
      <c r="C154" s="1" t="s">
        <v>127</v>
      </c>
      <c r="D154" s="1" t="s">
        <v>26</v>
      </c>
      <c r="E154" s="1" t="s">
        <v>88</v>
      </c>
      <c r="H154" s="1">
        <v>1</v>
      </c>
      <c r="K154" s="1"/>
      <c r="L154" s="3">
        <v>735.96</v>
      </c>
      <c r="M154" s="3"/>
      <c r="N154" s="3">
        <f>IFERROR(Table1[[#This Row],[Price '[€']]]/Table1[[#This Row],[Power '[kW']]],)</f>
        <v>0</v>
      </c>
      <c r="O154" s="1" t="s">
        <v>130</v>
      </c>
      <c r="P154" s="13" t="s">
        <v>129</v>
      </c>
      <c r="Q154" s="4"/>
    </row>
    <row r="155" spans="1:17" x14ac:dyDescent="0.2">
      <c r="A155">
        <v>15</v>
      </c>
      <c r="B155" t="s">
        <v>126</v>
      </c>
      <c r="C155" s="1" t="s">
        <v>127</v>
      </c>
      <c r="D155" s="1" t="s">
        <v>26</v>
      </c>
      <c r="E155" s="1" t="s">
        <v>132</v>
      </c>
      <c r="H155" s="1">
        <v>1</v>
      </c>
      <c r="K155" s="1"/>
      <c r="L155" s="3">
        <v>328.58</v>
      </c>
      <c r="M155" s="3"/>
      <c r="N155" s="3">
        <f>IFERROR(Table1[[#This Row],[Price '[€']]]/Table1[[#This Row],[Power '[kW']]],)</f>
        <v>0</v>
      </c>
      <c r="O155" s="1" t="s">
        <v>133</v>
      </c>
      <c r="P155" s="13" t="s">
        <v>129</v>
      </c>
      <c r="Q155" s="4"/>
    </row>
    <row r="156" spans="1:17" x14ac:dyDescent="0.2">
      <c r="A156">
        <v>15</v>
      </c>
      <c r="B156" t="s">
        <v>126</v>
      </c>
      <c r="C156" s="1" t="s">
        <v>127</v>
      </c>
      <c r="D156" s="1" t="s">
        <v>19</v>
      </c>
      <c r="I156" s="1">
        <v>5.08</v>
      </c>
      <c r="K156" s="1"/>
      <c r="L156" s="3"/>
      <c r="M156" s="3">
        <v>5247.52</v>
      </c>
      <c r="N156" s="3">
        <f>IFERROR(Table1[[#This Row],[Price '[€']]]/Table1[[#This Row],[Power '[kW']]],)</f>
        <v>1032.9763779527559</v>
      </c>
      <c r="O156" s="1" t="s">
        <v>134</v>
      </c>
      <c r="P156" s="13" t="s">
        <v>135</v>
      </c>
      <c r="Q156" s="4"/>
    </row>
    <row r="157" spans="1:17" x14ac:dyDescent="0.2">
      <c r="A157">
        <v>15</v>
      </c>
      <c r="B157" t="s">
        <v>126</v>
      </c>
      <c r="C157" s="1" t="s">
        <v>127</v>
      </c>
      <c r="D157" s="1" t="s">
        <v>21</v>
      </c>
      <c r="I157" s="1">
        <v>18</v>
      </c>
      <c r="K157" s="1"/>
      <c r="L157" s="3"/>
      <c r="M157" s="3">
        <v>5775.48</v>
      </c>
      <c r="N157" s="3">
        <f>IFERROR(Table1[[#This Row],[Price '[€']]]/Table1[[#This Row],[Power '[kW']]],)</f>
        <v>320.85999999999996</v>
      </c>
      <c r="O157" s="1" t="s">
        <v>136</v>
      </c>
      <c r="P157" s="13" t="s">
        <v>137</v>
      </c>
      <c r="Q157" s="4"/>
    </row>
    <row r="158" spans="1:17" x14ac:dyDescent="0.2">
      <c r="A158">
        <v>15</v>
      </c>
      <c r="B158" t="s">
        <v>126</v>
      </c>
      <c r="C158" s="1" t="s">
        <v>127</v>
      </c>
      <c r="D158" s="1" t="s">
        <v>25</v>
      </c>
      <c r="K158" s="1"/>
      <c r="L158" s="3"/>
      <c r="M158" s="3"/>
      <c r="N158" s="3">
        <v>1375</v>
      </c>
      <c r="O158" s="1" t="s">
        <v>138</v>
      </c>
      <c r="P158" s="13" t="s">
        <v>139</v>
      </c>
      <c r="Q158" s="4"/>
    </row>
    <row r="159" spans="1:17" x14ac:dyDescent="0.2">
      <c r="A159">
        <v>15</v>
      </c>
      <c r="B159" t="s">
        <v>126</v>
      </c>
      <c r="C159" s="1" t="s">
        <v>127</v>
      </c>
      <c r="D159" s="1" t="s">
        <v>29</v>
      </c>
      <c r="I159" s="1">
        <v>57.8</v>
      </c>
      <c r="K159" s="1"/>
      <c r="L159" s="3"/>
      <c r="M159" s="3">
        <v>56990.8</v>
      </c>
      <c r="N159" s="3">
        <f>IFERROR(Table1[[#This Row],[Price '[€']]]/Table1[[#This Row],[Power '[kW']]],)</f>
        <v>986.00000000000011</v>
      </c>
      <c r="O159" s="3" t="s">
        <v>140</v>
      </c>
      <c r="P159" s="13" t="s">
        <v>137</v>
      </c>
      <c r="Q159" s="4"/>
    </row>
    <row r="160" spans="1:17" x14ac:dyDescent="0.2">
      <c r="A160">
        <v>16</v>
      </c>
      <c r="B160" t="s">
        <v>141</v>
      </c>
      <c r="C160" s="8" t="s">
        <v>17</v>
      </c>
      <c r="D160" s="8" t="s">
        <v>18</v>
      </c>
      <c r="E160" s="1" t="s">
        <v>33</v>
      </c>
      <c r="F160" s="1">
        <v>10</v>
      </c>
      <c r="G160" s="1">
        <v>3.5999999999999997E-2</v>
      </c>
      <c r="K160" s="1"/>
      <c r="L160" s="3">
        <v>76.95</v>
      </c>
      <c r="M160" s="3"/>
      <c r="N160" s="3">
        <f>IFERROR(Table1[[#This Row],[Price '[€']]]/Table1[[#This Row],[Power '[kW']]],)</f>
        <v>0</v>
      </c>
      <c r="O160" s="1" t="s">
        <v>142</v>
      </c>
      <c r="P160" s="13" t="s">
        <v>143</v>
      </c>
      <c r="Q160" s="4"/>
    </row>
    <row r="161" spans="1:17" x14ac:dyDescent="0.2">
      <c r="A161">
        <v>16</v>
      </c>
      <c r="B161" t="s">
        <v>141</v>
      </c>
      <c r="C161" s="8" t="s">
        <v>17</v>
      </c>
      <c r="D161" s="8" t="s">
        <v>20</v>
      </c>
      <c r="E161" s="1" t="s">
        <v>33</v>
      </c>
      <c r="F161" s="1">
        <v>2</v>
      </c>
      <c r="G161" s="1">
        <v>3.5999999999999997E-2</v>
      </c>
      <c r="K161" s="1"/>
      <c r="L161" s="3">
        <v>2.2999999999999998</v>
      </c>
      <c r="M161" s="3"/>
      <c r="N161" s="3">
        <f>IFERROR(Table1[[#This Row],[Price '[€']]]/Table1[[#This Row],[Power '[kW']]],)</f>
        <v>0</v>
      </c>
      <c r="O161" s="1" t="s">
        <v>144</v>
      </c>
      <c r="P161" s="13" t="s">
        <v>143</v>
      </c>
      <c r="Q161" s="4"/>
    </row>
    <row r="162" spans="1:17" x14ac:dyDescent="0.2">
      <c r="A162">
        <v>16</v>
      </c>
      <c r="B162" t="s">
        <v>141</v>
      </c>
      <c r="C162" s="8" t="s">
        <v>17</v>
      </c>
      <c r="D162" s="8" t="s">
        <v>22</v>
      </c>
      <c r="K162" s="1"/>
      <c r="L162" s="3">
        <v>35</v>
      </c>
      <c r="M162" s="3"/>
      <c r="N162" s="3">
        <f>IFERROR(Table1[[#This Row],[Price '[€']]]/Table1[[#This Row],[Power '[kW']]],)</f>
        <v>0</v>
      </c>
      <c r="O162" s="1" t="s">
        <v>145</v>
      </c>
      <c r="P162" s="13" t="s">
        <v>143</v>
      </c>
      <c r="Q162" s="4"/>
    </row>
    <row r="163" spans="1:17" x14ac:dyDescent="0.2">
      <c r="A163">
        <v>16</v>
      </c>
      <c r="B163" t="s">
        <v>141</v>
      </c>
      <c r="C163" s="8" t="s">
        <v>17</v>
      </c>
      <c r="D163" s="8" t="s">
        <v>24</v>
      </c>
      <c r="K163" s="1"/>
      <c r="L163" s="3"/>
      <c r="M163" s="3"/>
      <c r="N163" s="3">
        <f>IFERROR(Table1[[#This Row],[Price '[€']]]/Table1[[#This Row],[Power '[kW']]],)</f>
        <v>0</v>
      </c>
      <c r="Q163" s="4"/>
    </row>
    <row r="164" spans="1:17" x14ac:dyDescent="0.2">
      <c r="A164">
        <v>16</v>
      </c>
      <c r="B164" t="s">
        <v>141</v>
      </c>
      <c r="C164" s="8" t="s">
        <v>17</v>
      </c>
      <c r="D164" s="8" t="s">
        <v>23</v>
      </c>
      <c r="E164" s="1" t="s">
        <v>33</v>
      </c>
      <c r="F164" s="1">
        <v>5</v>
      </c>
      <c r="G164" s="1">
        <v>3.5000000000000003E-2</v>
      </c>
      <c r="K164" s="1"/>
      <c r="L164" s="3">
        <v>39.1</v>
      </c>
      <c r="M164" s="3"/>
      <c r="N164" s="3">
        <f>IFERROR(Table1[[#This Row],[Price '[€']]]/Table1[[#This Row],[Power '[kW']]],)</f>
        <v>0</v>
      </c>
      <c r="O164" s="1" t="s">
        <v>144</v>
      </c>
      <c r="P164" s="13" t="s">
        <v>143</v>
      </c>
      <c r="Q164" s="4"/>
    </row>
    <row r="165" spans="1:17" x14ac:dyDescent="0.2">
      <c r="A165">
        <v>16</v>
      </c>
      <c r="B165" t="s">
        <v>141</v>
      </c>
      <c r="C165" s="8" t="s">
        <v>17</v>
      </c>
      <c r="D165" s="8" t="s">
        <v>26</v>
      </c>
      <c r="E165" s="1" t="s">
        <v>43</v>
      </c>
      <c r="H165" s="1">
        <v>0.9</v>
      </c>
      <c r="K165" s="1"/>
      <c r="L165" s="3">
        <v>282.63</v>
      </c>
      <c r="M165" s="3"/>
      <c r="N165" s="3">
        <f>IFERROR(Table1[[#This Row],[Price '[€']]]/Table1[[#This Row],[Power '[kW']]],)</f>
        <v>0</v>
      </c>
      <c r="O165" s="1" t="s">
        <v>207</v>
      </c>
      <c r="Q165" s="4"/>
    </row>
    <row r="166" spans="1:17" x14ac:dyDescent="0.2">
      <c r="A166">
        <v>16</v>
      </c>
      <c r="B166" t="s">
        <v>141</v>
      </c>
      <c r="C166" s="8" t="s">
        <v>17</v>
      </c>
      <c r="D166" s="8" t="s">
        <v>19</v>
      </c>
      <c r="I166" s="1">
        <v>7</v>
      </c>
      <c r="K166" s="1"/>
      <c r="L166" s="3"/>
      <c r="M166" s="3">
        <v>9583.36</v>
      </c>
      <c r="N166" s="3">
        <f>IFERROR(Table1[[#This Row],[Price '[€']]]/Table1[[#This Row],[Power '[kW']]],)</f>
        <v>1369.0514285714287</v>
      </c>
      <c r="O166" s="1" t="s">
        <v>27</v>
      </c>
      <c r="P166" s="11" t="s">
        <v>28</v>
      </c>
      <c r="Q166" s="4"/>
    </row>
    <row r="167" spans="1:17" x14ac:dyDescent="0.2">
      <c r="A167">
        <v>16</v>
      </c>
      <c r="B167" t="s">
        <v>141</v>
      </c>
      <c r="C167" s="8" t="s">
        <v>17</v>
      </c>
      <c r="D167" s="8" t="s">
        <v>21</v>
      </c>
      <c r="I167" s="1">
        <v>14</v>
      </c>
      <c r="K167" s="1"/>
      <c r="L167" s="3"/>
      <c r="M167" s="3">
        <v>3240.36</v>
      </c>
      <c r="N167" s="3">
        <f>IFERROR(Table1[[#This Row],[Price '[€']]]/Table1[[#This Row],[Power '[kW']]],)</f>
        <v>231.45428571428573</v>
      </c>
      <c r="O167" s="1" t="s">
        <v>27</v>
      </c>
      <c r="P167" s="1" t="s">
        <v>28</v>
      </c>
      <c r="Q167" s="4"/>
    </row>
    <row r="168" spans="1:17" x14ac:dyDescent="0.2">
      <c r="A168">
        <v>16</v>
      </c>
      <c r="B168" t="s">
        <v>141</v>
      </c>
      <c r="C168" s="8" t="s">
        <v>17</v>
      </c>
      <c r="D168" s="8" t="s">
        <v>25</v>
      </c>
      <c r="K168" s="1"/>
      <c r="L168" s="3"/>
      <c r="M168" s="3"/>
      <c r="N168" s="3">
        <v>1310</v>
      </c>
      <c r="O168" s="1" t="s">
        <v>30</v>
      </c>
      <c r="P168" s="12" t="s">
        <v>31</v>
      </c>
      <c r="Q168" s="4"/>
    </row>
    <row r="169" spans="1:17" x14ac:dyDescent="0.2">
      <c r="A169">
        <v>16</v>
      </c>
      <c r="B169" t="s">
        <v>141</v>
      </c>
      <c r="C169" s="8" t="s">
        <v>17</v>
      </c>
      <c r="D169" s="8" t="s">
        <v>29</v>
      </c>
      <c r="I169" s="1">
        <v>4.2</v>
      </c>
      <c r="K169" s="1"/>
      <c r="L169" s="3"/>
      <c r="M169" s="3">
        <v>2091.56</v>
      </c>
      <c r="N169" s="3">
        <f>IFERROR(Table1[[#This Row],[Price '[€']]]/Table1[[#This Row],[Power '[kW']]],)</f>
        <v>497.99047619047616</v>
      </c>
      <c r="O169" s="1" t="s">
        <v>27</v>
      </c>
      <c r="P169" s="1" t="s">
        <v>28</v>
      </c>
      <c r="Q169" s="4"/>
    </row>
    <row r="170" spans="1:17" x14ac:dyDescent="0.2">
      <c r="A170">
        <v>17</v>
      </c>
      <c r="B170" t="s">
        <v>146</v>
      </c>
      <c r="C170" s="8" t="s">
        <v>17</v>
      </c>
      <c r="D170" s="8" t="s">
        <v>18</v>
      </c>
      <c r="F170" s="1">
        <v>6</v>
      </c>
      <c r="G170" s="1">
        <v>3.7999999999999999E-2</v>
      </c>
      <c r="K170" s="3"/>
      <c r="L170" s="3">
        <v>88.89</v>
      </c>
      <c r="M170" s="1"/>
      <c r="N170" s="9">
        <f>IFERROR(Table1[[#This Row],[Price '[€']]]/Table1[[#This Row],[Power '[kW']]],)</f>
        <v>0</v>
      </c>
      <c r="O170" s="1" t="s">
        <v>207</v>
      </c>
      <c r="Q170" s="4"/>
    </row>
    <row r="171" spans="1:17" x14ac:dyDescent="0.2">
      <c r="A171">
        <v>17</v>
      </c>
      <c r="B171" t="s">
        <v>146</v>
      </c>
      <c r="C171" s="8" t="s">
        <v>17</v>
      </c>
      <c r="D171" s="8" t="s">
        <v>20</v>
      </c>
      <c r="F171" s="1">
        <v>1</v>
      </c>
      <c r="G171" s="1">
        <v>3.7999999999999999E-2</v>
      </c>
      <c r="K171" s="3"/>
      <c r="L171" s="3">
        <v>2.75</v>
      </c>
      <c r="M171" s="1"/>
      <c r="N171" s="9">
        <f>IFERROR(Table1[[#This Row],[Price '[€']]]/Table1[[#This Row],[Power '[kW']]],)</f>
        <v>0</v>
      </c>
      <c r="O171" s="1" t="s">
        <v>207</v>
      </c>
      <c r="Q171" s="4"/>
    </row>
    <row r="172" spans="1:17" x14ac:dyDescent="0.2">
      <c r="A172">
        <v>17</v>
      </c>
      <c r="B172" t="s">
        <v>146</v>
      </c>
      <c r="C172" s="8" t="s">
        <v>17</v>
      </c>
      <c r="D172" s="8" t="s">
        <v>22</v>
      </c>
      <c r="F172" s="1">
        <v>6</v>
      </c>
      <c r="G172" s="1">
        <v>3.7999999999999999E-2</v>
      </c>
      <c r="K172" s="3"/>
      <c r="L172" s="3">
        <v>160.11000000000001</v>
      </c>
      <c r="M172" s="1"/>
      <c r="N172" s="9">
        <f>IFERROR(Table1[[#This Row],[Price '[€']]]/Table1[[#This Row],[Power '[kW']]],)</f>
        <v>0</v>
      </c>
      <c r="O172" s="1" t="s">
        <v>207</v>
      </c>
      <c r="Q172" s="4"/>
    </row>
    <row r="173" spans="1:17" x14ac:dyDescent="0.2">
      <c r="A173">
        <v>17</v>
      </c>
      <c r="B173" t="s">
        <v>146</v>
      </c>
      <c r="C173" s="8" t="s">
        <v>17</v>
      </c>
      <c r="D173" s="8" t="s">
        <v>24</v>
      </c>
      <c r="F173" s="1">
        <v>6</v>
      </c>
      <c r="G173" s="1">
        <v>3.7999999999999999E-2</v>
      </c>
      <c r="K173" s="3"/>
      <c r="L173" s="3">
        <v>137.27000000000001</v>
      </c>
      <c r="M173" s="1"/>
      <c r="N173" s="9">
        <f>IFERROR(Table1[[#This Row],[Price '[€']]]/Table1[[#This Row],[Power '[kW']]],)</f>
        <v>0</v>
      </c>
      <c r="O173" s="1" t="s">
        <v>207</v>
      </c>
      <c r="Q173" s="4"/>
    </row>
    <row r="174" spans="1:17" x14ac:dyDescent="0.2">
      <c r="A174">
        <v>17</v>
      </c>
      <c r="B174" t="s">
        <v>146</v>
      </c>
      <c r="C174" s="8" t="s">
        <v>17</v>
      </c>
      <c r="D174" s="8" t="s">
        <v>23</v>
      </c>
      <c r="F174" s="1">
        <v>6</v>
      </c>
      <c r="G174" s="1">
        <v>3.7999999999999999E-2</v>
      </c>
      <c r="K174" s="3"/>
      <c r="L174" s="3">
        <v>39.72</v>
      </c>
      <c r="M174" s="1"/>
      <c r="N174" s="9">
        <f>IFERROR(Table1[[#This Row],[Price '[€']]]/Table1[[#This Row],[Power '[kW']]],)</f>
        <v>0</v>
      </c>
      <c r="O174" s="1" t="s">
        <v>207</v>
      </c>
      <c r="Q174" s="4"/>
    </row>
    <row r="175" spans="1:17" x14ac:dyDescent="0.2">
      <c r="A175">
        <v>17</v>
      </c>
      <c r="B175" t="s">
        <v>146</v>
      </c>
      <c r="C175" s="8" t="s">
        <v>17</v>
      </c>
      <c r="D175" s="8" t="s">
        <v>26</v>
      </c>
      <c r="H175" s="1">
        <v>0.95</v>
      </c>
      <c r="K175" s="3"/>
      <c r="L175" s="3">
        <v>317.26</v>
      </c>
      <c r="M175" s="1"/>
      <c r="N175" s="9">
        <f>IFERROR(Table1[[#This Row],[Price '[€']]]/Table1[[#This Row],[Power '[kW']]],)</f>
        <v>0</v>
      </c>
      <c r="O175" s="1" t="s">
        <v>207</v>
      </c>
      <c r="Q175" s="4"/>
    </row>
    <row r="176" spans="1:17" x14ac:dyDescent="0.2">
      <c r="A176">
        <v>17</v>
      </c>
      <c r="B176" t="s">
        <v>146</v>
      </c>
      <c r="C176" s="8" t="s">
        <v>17</v>
      </c>
      <c r="D176" s="8" t="s">
        <v>19</v>
      </c>
      <c r="I176" s="1">
        <v>7</v>
      </c>
      <c r="K176" s="3"/>
      <c r="L176" s="3"/>
      <c r="M176" s="10">
        <v>9663.17</v>
      </c>
      <c r="N176" s="9">
        <f>IFERROR(Table1[[#This Row],[Price '[€']]]/Table1[[#This Row],[Power '[kW']]],)</f>
        <v>1380.4528571428571</v>
      </c>
      <c r="O176" s="1" t="s">
        <v>27</v>
      </c>
      <c r="P176" s="11" t="s">
        <v>28</v>
      </c>
      <c r="Q176" s="4"/>
    </row>
    <row r="177" spans="1:17" x14ac:dyDescent="0.2">
      <c r="A177">
        <v>17</v>
      </c>
      <c r="B177" t="s">
        <v>146</v>
      </c>
      <c r="C177" s="8" t="s">
        <v>17</v>
      </c>
      <c r="D177" s="8" t="s">
        <v>21</v>
      </c>
      <c r="I177" s="1">
        <v>14</v>
      </c>
      <c r="K177" s="3"/>
      <c r="L177" s="3"/>
      <c r="M177" s="10">
        <v>3267.35</v>
      </c>
      <c r="N177" s="9">
        <f>IFERROR(Table1[[#This Row],[Price '[€']]]/Table1[[#This Row],[Power '[kW']]],)</f>
        <v>233.38214285714284</v>
      </c>
      <c r="O177" s="1" t="s">
        <v>27</v>
      </c>
      <c r="P177" s="1" t="s">
        <v>28</v>
      </c>
      <c r="Q177" s="4"/>
    </row>
    <row r="178" spans="1:17" x14ac:dyDescent="0.2">
      <c r="A178">
        <v>17</v>
      </c>
      <c r="B178" t="s">
        <v>146</v>
      </c>
      <c r="C178" s="8" t="s">
        <v>17</v>
      </c>
      <c r="D178" s="8" t="s">
        <v>25</v>
      </c>
      <c r="K178" s="3"/>
      <c r="L178" s="3"/>
      <c r="M178" s="1"/>
      <c r="N178" s="9">
        <v>1310</v>
      </c>
      <c r="O178" s="1" t="s">
        <v>30</v>
      </c>
      <c r="P178" s="12" t="s">
        <v>31</v>
      </c>
      <c r="Q178" s="4"/>
    </row>
    <row r="179" spans="1:17" x14ac:dyDescent="0.2">
      <c r="A179">
        <v>17</v>
      </c>
      <c r="B179" t="s">
        <v>146</v>
      </c>
      <c r="C179" s="8" t="s">
        <v>17</v>
      </c>
      <c r="D179" s="1" t="s">
        <v>29</v>
      </c>
      <c r="I179" s="1">
        <v>4.2</v>
      </c>
      <c r="K179" s="3"/>
      <c r="L179" s="3"/>
      <c r="M179" s="1">
        <v>2119.8000000000002</v>
      </c>
      <c r="N179" s="9">
        <f>IFERROR(Table1[[#This Row],[Price '[€']]]/Table1[[#This Row],[Power '[kW']]],)</f>
        <v>504.71428571428572</v>
      </c>
      <c r="O179" s="1" t="s">
        <v>27</v>
      </c>
      <c r="P179" s="1" t="s">
        <v>28</v>
      </c>
      <c r="Q179" s="4"/>
    </row>
    <row r="180" spans="1:17" x14ac:dyDescent="0.2">
      <c r="A180">
        <v>18</v>
      </c>
      <c r="B180" t="s">
        <v>147</v>
      </c>
      <c r="C180" s="8" t="s">
        <v>17</v>
      </c>
      <c r="D180" s="8" t="s">
        <v>18</v>
      </c>
      <c r="F180" s="1">
        <v>6</v>
      </c>
      <c r="G180" s="1">
        <v>3.7999999999999999E-2</v>
      </c>
      <c r="K180" s="3"/>
      <c r="L180" s="3">
        <v>156.63</v>
      </c>
      <c r="M180" s="1"/>
      <c r="N180" s="9">
        <f>IFERROR(Table1[[#This Row],[Price '[€']]]/Table1[[#This Row],[Power '[kW']]],)</f>
        <v>0</v>
      </c>
      <c r="O180" s="1" t="s">
        <v>207</v>
      </c>
      <c r="Q180" s="4"/>
    </row>
    <row r="181" spans="1:17" x14ac:dyDescent="0.2">
      <c r="A181">
        <v>18</v>
      </c>
      <c r="B181" t="s">
        <v>147</v>
      </c>
      <c r="C181" s="8" t="s">
        <v>17</v>
      </c>
      <c r="D181" s="8" t="s">
        <v>20</v>
      </c>
      <c r="F181" s="1">
        <v>1</v>
      </c>
      <c r="G181" s="1">
        <v>3.7999999999999999E-2</v>
      </c>
      <c r="K181" s="3"/>
      <c r="L181" s="3">
        <v>3.87</v>
      </c>
      <c r="M181" s="1"/>
      <c r="N181" s="9">
        <f>IFERROR(Table1[[#This Row],[Price '[€']]]/Table1[[#This Row],[Power '[kW']]],)</f>
        <v>0</v>
      </c>
      <c r="O181" s="1" t="s">
        <v>207</v>
      </c>
      <c r="Q181" s="4"/>
    </row>
    <row r="182" spans="1:17" x14ac:dyDescent="0.2">
      <c r="A182">
        <v>18</v>
      </c>
      <c r="B182" t="s">
        <v>147</v>
      </c>
      <c r="C182" s="8" t="s">
        <v>17</v>
      </c>
      <c r="D182" s="8" t="s">
        <v>22</v>
      </c>
      <c r="F182" s="1">
        <v>6</v>
      </c>
      <c r="G182" s="1">
        <v>3.7999999999999999E-2</v>
      </c>
      <c r="K182" s="3"/>
      <c r="L182" s="3">
        <v>282.10000000000002</v>
      </c>
      <c r="M182" s="1"/>
      <c r="N182" s="9">
        <f>IFERROR(Table1[[#This Row],[Price '[€']]]/Table1[[#This Row],[Power '[kW']]],)</f>
        <v>0</v>
      </c>
      <c r="O182" s="1" t="s">
        <v>207</v>
      </c>
      <c r="Q182" s="4"/>
    </row>
    <row r="183" spans="1:17" x14ac:dyDescent="0.2">
      <c r="A183">
        <v>18</v>
      </c>
      <c r="B183" t="s">
        <v>147</v>
      </c>
      <c r="C183" s="8" t="s">
        <v>17</v>
      </c>
      <c r="D183" s="8" t="s">
        <v>24</v>
      </c>
      <c r="F183" s="1">
        <v>6</v>
      </c>
      <c r="G183" s="1">
        <v>3.7999999999999999E-2</v>
      </c>
      <c r="K183" s="3"/>
      <c r="L183" s="3">
        <v>241.86</v>
      </c>
      <c r="M183" s="1"/>
      <c r="N183" s="9">
        <f>IFERROR(Table1[[#This Row],[Price '[€']]]/Table1[[#This Row],[Power '[kW']]],)</f>
        <v>0</v>
      </c>
      <c r="O183" s="1" t="s">
        <v>207</v>
      </c>
      <c r="Q183" s="4"/>
    </row>
    <row r="184" spans="1:17" x14ac:dyDescent="0.2">
      <c r="A184">
        <v>18</v>
      </c>
      <c r="B184" t="s">
        <v>147</v>
      </c>
      <c r="C184" s="8" t="s">
        <v>17</v>
      </c>
      <c r="D184" s="8" t="s">
        <v>23</v>
      </c>
      <c r="F184" s="1">
        <v>6</v>
      </c>
      <c r="G184" s="1">
        <v>3.7999999999999999E-2</v>
      </c>
      <c r="K184" s="3"/>
      <c r="L184" s="3">
        <v>70.33</v>
      </c>
      <c r="M184" s="1"/>
      <c r="N184" s="9">
        <f>IFERROR(Table1[[#This Row],[Price '[€']]]/Table1[[#This Row],[Power '[kW']]],)</f>
        <v>0</v>
      </c>
      <c r="O184" s="1" t="s">
        <v>207</v>
      </c>
      <c r="Q184" s="4"/>
    </row>
    <row r="185" spans="1:17" x14ac:dyDescent="0.2">
      <c r="A185">
        <v>18</v>
      </c>
      <c r="B185" t="s">
        <v>147</v>
      </c>
      <c r="C185" s="8" t="s">
        <v>17</v>
      </c>
      <c r="D185" s="8" t="s">
        <v>26</v>
      </c>
      <c r="H185" s="1">
        <v>0.95</v>
      </c>
      <c r="K185" s="3"/>
      <c r="L185" s="3">
        <v>558.99</v>
      </c>
      <c r="M185" s="1"/>
      <c r="N185" s="9">
        <f>IFERROR(Table1[[#This Row],[Price '[€']]]/Table1[[#This Row],[Power '[kW']]],)</f>
        <v>0</v>
      </c>
      <c r="O185" s="1" t="s">
        <v>207</v>
      </c>
      <c r="Q185" s="4"/>
    </row>
    <row r="186" spans="1:17" x14ac:dyDescent="0.2">
      <c r="A186">
        <v>18</v>
      </c>
      <c r="B186" t="s">
        <v>147</v>
      </c>
      <c r="C186" s="8" t="s">
        <v>17</v>
      </c>
      <c r="D186" s="8" t="s">
        <v>19</v>
      </c>
      <c r="I186" s="1">
        <v>7</v>
      </c>
      <c r="K186" s="3"/>
      <c r="L186" s="3"/>
      <c r="M186" s="10">
        <v>13296.25</v>
      </c>
      <c r="N186" s="9">
        <f>IFERROR(Table1[[#This Row],[Price '[€']]]/Table1[[#This Row],[Power '[kW']]],)</f>
        <v>1899.4642857142858</v>
      </c>
      <c r="O186" s="1" t="s">
        <v>27</v>
      </c>
      <c r="P186" s="11" t="s">
        <v>28</v>
      </c>
      <c r="Q186" s="4"/>
    </row>
    <row r="187" spans="1:17" x14ac:dyDescent="0.2">
      <c r="A187">
        <v>18</v>
      </c>
      <c r="B187" t="s">
        <v>147</v>
      </c>
      <c r="C187" s="8" t="s">
        <v>17</v>
      </c>
      <c r="D187" s="8" t="s">
        <v>21</v>
      </c>
      <c r="I187" s="1">
        <v>14</v>
      </c>
      <c r="K187" s="3"/>
      <c r="L187" s="3"/>
      <c r="M187" s="10">
        <v>4495.7700000000004</v>
      </c>
      <c r="N187" s="9">
        <f>IFERROR(Table1[[#This Row],[Price '[€']]]/Table1[[#This Row],[Power '[kW']]],)</f>
        <v>321.12642857142862</v>
      </c>
      <c r="O187" s="1" t="s">
        <v>27</v>
      </c>
      <c r="P187" s="1" t="s">
        <v>28</v>
      </c>
      <c r="Q187" s="4"/>
    </row>
    <row r="188" spans="1:17" x14ac:dyDescent="0.2">
      <c r="A188">
        <v>18</v>
      </c>
      <c r="B188" t="s">
        <v>147</v>
      </c>
      <c r="C188" s="8" t="s">
        <v>17</v>
      </c>
      <c r="D188" s="8" t="s">
        <v>25</v>
      </c>
      <c r="K188" s="3"/>
      <c r="L188" s="3"/>
      <c r="M188" s="1"/>
      <c r="N188" s="9">
        <v>1350</v>
      </c>
      <c r="O188" s="1" t="s">
        <v>30</v>
      </c>
      <c r="P188" s="12" t="s">
        <v>31</v>
      </c>
      <c r="Q188" s="4"/>
    </row>
    <row r="189" spans="1:17" x14ac:dyDescent="0.2">
      <c r="A189">
        <v>18</v>
      </c>
      <c r="B189" t="s">
        <v>147</v>
      </c>
      <c r="C189" s="8" t="s">
        <v>17</v>
      </c>
      <c r="D189" s="1" t="s">
        <v>29</v>
      </c>
      <c r="I189" s="1">
        <v>4.2</v>
      </c>
      <c r="K189" s="3"/>
      <c r="L189" s="3"/>
      <c r="M189" s="1">
        <v>3243.79</v>
      </c>
      <c r="N189" s="9">
        <f>IFERROR(Table1[[#This Row],[Price '[€']]]/Table1[[#This Row],[Power '[kW']]],)</f>
        <v>772.33095238095234</v>
      </c>
      <c r="O189" s="1" t="s">
        <v>27</v>
      </c>
      <c r="P189" s="1" t="s">
        <v>28</v>
      </c>
      <c r="Q189" s="4"/>
    </row>
    <row r="190" spans="1:17" x14ac:dyDescent="0.2">
      <c r="A190">
        <v>19</v>
      </c>
      <c r="B190" t="s">
        <v>148</v>
      </c>
      <c r="C190" s="8" t="s">
        <v>17</v>
      </c>
      <c r="D190" s="8" t="s">
        <v>18</v>
      </c>
      <c r="F190" s="1">
        <v>6</v>
      </c>
      <c r="G190" s="1">
        <v>3.7999999999999999E-2</v>
      </c>
      <c r="K190" s="3"/>
      <c r="L190" s="3">
        <v>93.4</v>
      </c>
      <c r="M190" s="1"/>
      <c r="N190" s="9">
        <f>IFERROR(Table1[[#This Row],[Price '[€']]]/Table1[[#This Row],[Power '[kW']]],)</f>
        <v>0</v>
      </c>
      <c r="O190" s="1" t="s">
        <v>207</v>
      </c>
      <c r="Q190" s="4"/>
    </row>
    <row r="191" spans="1:17" x14ac:dyDescent="0.2">
      <c r="A191">
        <v>19</v>
      </c>
      <c r="B191" t="s">
        <v>148</v>
      </c>
      <c r="C191" s="8" t="s">
        <v>17</v>
      </c>
      <c r="D191" s="8" t="s">
        <v>20</v>
      </c>
      <c r="F191" s="1">
        <v>1</v>
      </c>
      <c r="G191" s="1">
        <v>3.7999999999999999E-2</v>
      </c>
      <c r="K191" s="3"/>
      <c r="L191" s="3">
        <v>2.31</v>
      </c>
      <c r="M191" s="1"/>
      <c r="N191" s="9">
        <f>IFERROR(Table1[[#This Row],[Price '[€']]]/Table1[[#This Row],[Power '[kW']]],)</f>
        <v>0</v>
      </c>
      <c r="O191" s="1" t="s">
        <v>207</v>
      </c>
      <c r="Q191" s="4"/>
    </row>
    <row r="192" spans="1:17" x14ac:dyDescent="0.2">
      <c r="A192">
        <v>19</v>
      </c>
      <c r="B192" t="s">
        <v>148</v>
      </c>
      <c r="C192" s="8" t="s">
        <v>17</v>
      </c>
      <c r="D192" s="8" t="s">
        <v>22</v>
      </c>
      <c r="F192" s="1">
        <v>6</v>
      </c>
      <c r="G192" s="1">
        <v>3.7999999999999999E-2</v>
      </c>
      <c r="K192" s="3"/>
      <c r="L192" s="3">
        <v>168.22</v>
      </c>
      <c r="M192" s="1"/>
      <c r="N192" s="9">
        <f>IFERROR(Table1[[#This Row],[Price '[€']]]/Table1[[#This Row],[Power '[kW']]],)</f>
        <v>0</v>
      </c>
      <c r="O192" s="1" t="s">
        <v>207</v>
      </c>
      <c r="Q192" s="4"/>
    </row>
    <row r="193" spans="1:17" x14ac:dyDescent="0.2">
      <c r="A193">
        <v>19</v>
      </c>
      <c r="B193" t="s">
        <v>148</v>
      </c>
      <c r="C193" s="8" t="s">
        <v>17</v>
      </c>
      <c r="D193" s="8" t="s">
        <v>24</v>
      </c>
      <c r="F193" s="1">
        <v>6</v>
      </c>
      <c r="G193" s="1">
        <v>3.7999999999999999E-2</v>
      </c>
      <c r="K193" s="3"/>
      <c r="L193" s="3">
        <v>144.22</v>
      </c>
      <c r="M193" s="1"/>
      <c r="N193" s="9">
        <f>IFERROR(Table1[[#This Row],[Price '[€']]]/Table1[[#This Row],[Power '[kW']]],)</f>
        <v>0</v>
      </c>
      <c r="O193" s="1" t="s">
        <v>207</v>
      </c>
      <c r="Q193" s="4"/>
    </row>
    <row r="194" spans="1:17" x14ac:dyDescent="0.2">
      <c r="A194">
        <v>19</v>
      </c>
      <c r="B194" t="s">
        <v>148</v>
      </c>
      <c r="C194" s="8" t="s">
        <v>17</v>
      </c>
      <c r="D194" s="8" t="s">
        <v>23</v>
      </c>
      <c r="F194" s="1">
        <v>6</v>
      </c>
      <c r="G194" s="1">
        <v>3.7999999999999999E-2</v>
      </c>
      <c r="K194" s="3"/>
      <c r="L194" s="3">
        <v>41.94</v>
      </c>
      <c r="M194" s="1"/>
      <c r="N194" s="9">
        <f>IFERROR(Table1[[#This Row],[Price '[€']]]/Table1[[#This Row],[Power '[kW']]],)</f>
        <v>0</v>
      </c>
      <c r="O194" s="1" t="s">
        <v>207</v>
      </c>
      <c r="Q194" s="4"/>
    </row>
    <row r="195" spans="1:17" x14ac:dyDescent="0.2">
      <c r="A195">
        <v>19</v>
      </c>
      <c r="B195" t="s">
        <v>148</v>
      </c>
      <c r="C195" s="8" t="s">
        <v>17</v>
      </c>
      <c r="D195" s="8" t="s">
        <v>26</v>
      </c>
      <c r="H195" s="1">
        <v>0.95</v>
      </c>
      <c r="K195" s="3"/>
      <c r="L195" s="3">
        <v>333.34</v>
      </c>
      <c r="M195" s="1"/>
      <c r="N195" s="9">
        <f>IFERROR(Table1[[#This Row],[Price '[€']]]/Table1[[#This Row],[Power '[kW']]],)</f>
        <v>0</v>
      </c>
      <c r="O195" s="1" t="s">
        <v>207</v>
      </c>
      <c r="Q195" s="4"/>
    </row>
    <row r="196" spans="1:17" x14ac:dyDescent="0.2">
      <c r="A196">
        <v>19</v>
      </c>
      <c r="B196" t="s">
        <v>148</v>
      </c>
      <c r="C196" s="8" t="s">
        <v>17</v>
      </c>
      <c r="D196" s="8" t="s">
        <v>19</v>
      </c>
      <c r="I196" s="1">
        <v>7</v>
      </c>
      <c r="K196" s="3"/>
      <c r="L196" s="3"/>
      <c r="M196" s="10">
        <v>10033.86</v>
      </c>
      <c r="N196" s="9">
        <f>IFERROR(Table1[[#This Row],[Price '[€']]]/Table1[[#This Row],[Power '[kW']]],)</f>
        <v>1433.4085714285716</v>
      </c>
      <c r="O196" s="1" t="s">
        <v>27</v>
      </c>
      <c r="P196" s="11" t="s">
        <v>28</v>
      </c>
      <c r="Q196" s="4"/>
    </row>
    <row r="197" spans="1:17" x14ac:dyDescent="0.2">
      <c r="A197">
        <v>19</v>
      </c>
      <c r="B197" t="s">
        <v>148</v>
      </c>
      <c r="C197" s="8" t="s">
        <v>17</v>
      </c>
      <c r="D197" s="8" t="s">
        <v>21</v>
      </c>
      <c r="I197" s="1">
        <v>14</v>
      </c>
      <c r="K197" s="3"/>
      <c r="L197" s="3"/>
      <c r="M197" s="10">
        <v>3392.68</v>
      </c>
      <c r="N197" s="9">
        <f>IFERROR(Table1[[#This Row],[Price '[€']]]/Table1[[#This Row],[Power '[kW']]],)</f>
        <v>242.3342857142857</v>
      </c>
      <c r="O197" s="1" t="s">
        <v>27</v>
      </c>
      <c r="P197" s="1" t="s">
        <v>28</v>
      </c>
      <c r="Q197" s="4"/>
    </row>
    <row r="198" spans="1:17" x14ac:dyDescent="0.2">
      <c r="A198">
        <v>19</v>
      </c>
      <c r="B198" t="s">
        <v>148</v>
      </c>
      <c r="C198" s="8" t="s">
        <v>17</v>
      </c>
      <c r="D198" s="8" t="s">
        <v>25</v>
      </c>
      <c r="K198" s="3"/>
      <c r="L198" s="3"/>
      <c r="M198" s="1"/>
      <c r="N198" s="9">
        <v>1350</v>
      </c>
      <c r="O198" s="1" t="s">
        <v>30</v>
      </c>
      <c r="P198" s="12" t="s">
        <v>31</v>
      </c>
      <c r="Q198" s="4"/>
    </row>
    <row r="199" spans="1:17" x14ac:dyDescent="0.2">
      <c r="A199">
        <v>19</v>
      </c>
      <c r="B199" t="s">
        <v>148</v>
      </c>
      <c r="C199" s="8" t="s">
        <v>17</v>
      </c>
      <c r="D199" s="1" t="s">
        <v>29</v>
      </c>
      <c r="I199" s="1">
        <v>4.2</v>
      </c>
      <c r="K199" s="3"/>
      <c r="L199" s="3"/>
      <c r="M199" s="1">
        <v>2223.02</v>
      </c>
      <c r="N199" s="9">
        <f>IFERROR(Table1[[#This Row],[Price '[€']]]/Table1[[#This Row],[Power '[kW']]],)</f>
        <v>529.29047619047617</v>
      </c>
      <c r="O199" s="1" t="s">
        <v>27</v>
      </c>
      <c r="P199" s="1" t="s">
        <v>28</v>
      </c>
      <c r="Q199" s="4"/>
    </row>
    <row r="200" spans="1:17" x14ac:dyDescent="0.2">
      <c r="A200">
        <v>20</v>
      </c>
      <c r="B200" t="s">
        <v>149</v>
      </c>
      <c r="C200" s="8" t="s">
        <v>17</v>
      </c>
      <c r="D200" s="8" t="s">
        <v>18</v>
      </c>
      <c r="E200" s="1" t="s">
        <v>51</v>
      </c>
      <c r="F200" s="1">
        <v>12</v>
      </c>
      <c r="G200" s="1">
        <v>3.3000000000000002E-2</v>
      </c>
      <c r="K200" s="1"/>
      <c r="L200" s="3">
        <v>150</v>
      </c>
      <c r="M200" s="3"/>
      <c r="N200" s="3">
        <f>IFERROR(Table1[[#This Row],[Price '[€']]]/Table1[[#This Row],[Power '[kW']]],)</f>
        <v>0</v>
      </c>
      <c r="O200" s="1" t="s">
        <v>150</v>
      </c>
      <c r="P200" s="13" t="s">
        <v>151</v>
      </c>
      <c r="Q200" s="4"/>
    </row>
    <row r="201" spans="1:17" x14ac:dyDescent="0.2">
      <c r="A201">
        <v>20</v>
      </c>
      <c r="B201" t="s">
        <v>149</v>
      </c>
      <c r="C201" s="8" t="s">
        <v>17</v>
      </c>
      <c r="D201" s="8" t="s">
        <v>20</v>
      </c>
      <c r="K201" s="1"/>
      <c r="L201" s="3"/>
      <c r="M201" s="3"/>
      <c r="N201" s="3">
        <f>IFERROR(Table1[[#This Row],[Price '[€']]]/Table1[[#This Row],[Power '[kW']]],)</f>
        <v>0</v>
      </c>
      <c r="Q201" s="4"/>
    </row>
    <row r="202" spans="1:17" x14ac:dyDescent="0.2">
      <c r="A202">
        <v>20</v>
      </c>
      <c r="B202" t="s">
        <v>149</v>
      </c>
      <c r="C202" s="8" t="s">
        <v>17</v>
      </c>
      <c r="D202" s="8" t="s">
        <v>22</v>
      </c>
      <c r="E202" s="1" t="s">
        <v>33</v>
      </c>
      <c r="F202" s="1">
        <v>10</v>
      </c>
      <c r="G202" s="1">
        <v>3.3000000000000002E-2</v>
      </c>
      <c r="K202" s="1"/>
      <c r="L202" s="3">
        <v>40</v>
      </c>
      <c r="M202" s="3"/>
      <c r="N202" s="3">
        <f>IFERROR(Table1[[#This Row],[Price '[€']]]/Table1[[#This Row],[Power '[kW']]],)</f>
        <v>0</v>
      </c>
      <c r="O202" s="1" t="s">
        <v>152</v>
      </c>
      <c r="P202" s="13" t="s">
        <v>153</v>
      </c>
      <c r="Q202" s="4"/>
    </row>
    <row r="203" spans="1:17" x14ac:dyDescent="0.2">
      <c r="A203">
        <v>20</v>
      </c>
      <c r="B203" t="s">
        <v>149</v>
      </c>
      <c r="C203" s="8" t="s">
        <v>17</v>
      </c>
      <c r="D203" s="8" t="s">
        <v>24</v>
      </c>
      <c r="E203" s="1" t="s">
        <v>33</v>
      </c>
      <c r="F203" s="1">
        <v>10</v>
      </c>
      <c r="G203" s="1">
        <v>3.3000000000000002E-2</v>
      </c>
      <c r="K203" s="1"/>
      <c r="L203" s="3">
        <v>190</v>
      </c>
      <c r="M203" s="3"/>
      <c r="N203" s="3">
        <f>IFERROR(Table1[[#This Row],[Price '[€']]]/Table1[[#This Row],[Power '[kW']]],)</f>
        <v>0</v>
      </c>
      <c r="O203" s="1" t="s">
        <v>152</v>
      </c>
      <c r="P203" s="13" t="s">
        <v>153</v>
      </c>
      <c r="Q203" s="4"/>
    </row>
    <row r="204" spans="1:17" x14ac:dyDescent="0.2">
      <c r="A204">
        <v>20</v>
      </c>
      <c r="B204" t="s">
        <v>149</v>
      </c>
      <c r="C204" s="8" t="s">
        <v>17</v>
      </c>
      <c r="D204" s="8" t="s">
        <v>23</v>
      </c>
      <c r="E204" s="1" t="s">
        <v>33</v>
      </c>
      <c r="F204" s="1">
        <v>10</v>
      </c>
      <c r="G204" s="1">
        <v>3.3000000000000002E-2</v>
      </c>
      <c r="K204" s="1"/>
      <c r="L204" s="3">
        <v>130</v>
      </c>
      <c r="M204" s="3"/>
      <c r="N204" s="3">
        <f>IFERROR(Table1[[#This Row],[Price '[€']]]/Table1[[#This Row],[Power '[kW']]],)</f>
        <v>0</v>
      </c>
      <c r="O204" s="1" t="s">
        <v>207</v>
      </c>
      <c r="Q204" s="4"/>
    </row>
    <row r="205" spans="1:17" x14ac:dyDescent="0.2">
      <c r="A205">
        <v>20</v>
      </c>
      <c r="B205" t="s">
        <v>149</v>
      </c>
      <c r="C205" s="8" t="s">
        <v>17</v>
      </c>
      <c r="D205" s="8" t="s">
        <v>26</v>
      </c>
      <c r="E205" s="1" t="s">
        <v>88</v>
      </c>
      <c r="H205" s="1">
        <v>0.9</v>
      </c>
      <c r="K205" s="1"/>
      <c r="L205" s="3">
        <v>1080</v>
      </c>
      <c r="M205" s="3"/>
      <c r="N205" s="3">
        <f>IFERROR(Table1[[#This Row],[Price '[€']]]/Table1[[#This Row],[Power '[kW']]],)</f>
        <v>0</v>
      </c>
      <c r="O205" s="1" t="s">
        <v>154</v>
      </c>
      <c r="P205" s="13" t="s">
        <v>155</v>
      </c>
      <c r="Q205" s="4"/>
    </row>
    <row r="206" spans="1:17" x14ac:dyDescent="0.2">
      <c r="A206">
        <v>20</v>
      </c>
      <c r="B206" t="s">
        <v>149</v>
      </c>
      <c r="C206" s="8" t="s">
        <v>17</v>
      </c>
      <c r="D206" s="8" t="s">
        <v>26</v>
      </c>
      <c r="E206" s="1" t="s">
        <v>132</v>
      </c>
      <c r="H206" s="1">
        <v>0.9</v>
      </c>
      <c r="K206" s="1"/>
      <c r="L206" s="3">
        <v>1030</v>
      </c>
      <c r="M206" s="3"/>
      <c r="N206" s="3">
        <f>IFERROR(Table1[[#This Row],[Price '[€']]]/Table1[[#This Row],[Power '[kW']]],)</f>
        <v>0</v>
      </c>
      <c r="O206" s="1" t="s">
        <v>156</v>
      </c>
      <c r="P206" s="13" t="s">
        <v>155</v>
      </c>
      <c r="Q206" s="4"/>
    </row>
    <row r="207" spans="1:17" x14ac:dyDescent="0.2">
      <c r="A207">
        <v>20</v>
      </c>
      <c r="B207" t="s">
        <v>149</v>
      </c>
      <c r="C207" s="8" t="s">
        <v>17</v>
      </c>
      <c r="D207" s="8" t="s">
        <v>26</v>
      </c>
      <c r="E207" s="1" t="s">
        <v>157</v>
      </c>
      <c r="H207" s="1">
        <v>0.9</v>
      </c>
      <c r="K207" s="1"/>
      <c r="L207" s="3">
        <v>930</v>
      </c>
      <c r="M207" s="3"/>
      <c r="N207" s="3">
        <f>IFERROR(Table1[[#This Row],[Price '[€']]]/Table1[[#This Row],[Power '[kW']]],)</f>
        <v>0</v>
      </c>
      <c r="O207" s="1" t="s">
        <v>158</v>
      </c>
      <c r="P207" s="13" t="s">
        <v>155</v>
      </c>
      <c r="Q207" s="4"/>
    </row>
    <row r="208" spans="1:17" x14ac:dyDescent="0.2">
      <c r="A208">
        <v>20</v>
      </c>
      <c r="B208" t="s">
        <v>149</v>
      </c>
      <c r="C208" s="8" t="s">
        <v>17</v>
      </c>
      <c r="D208" s="8" t="s">
        <v>19</v>
      </c>
      <c r="I208" s="1">
        <v>15</v>
      </c>
      <c r="K208" s="1"/>
      <c r="L208" s="3"/>
      <c r="M208" s="3">
        <v>11150</v>
      </c>
      <c r="N208" s="3">
        <f>IFERROR(Table1[[#This Row],[Price '[€']]]/Table1[[#This Row],[Power '[kW']]],)</f>
        <v>743.33333333333337</v>
      </c>
      <c r="O208" s="1" t="s">
        <v>159</v>
      </c>
      <c r="P208" s="13" t="s">
        <v>160</v>
      </c>
      <c r="Q208" s="4"/>
    </row>
    <row r="209" spans="1:17" x14ac:dyDescent="0.2">
      <c r="A209">
        <v>20</v>
      </c>
      <c r="B209" t="s">
        <v>149</v>
      </c>
      <c r="C209" s="8" t="s">
        <v>17</v>
      </c>
      <c r="D209" s="8" t="s">
        <v>21</v>
      </c>
      <c r="I209" s="1">
        <v>14</v>
      </c>
      <c r="K209" s="1"/>
      <c r="L209" s="3"/>
      <c r="M209" s="3">
        <v>4152.75</v>
      </c>
      <c r="N209" s="3">
        <f>IFERROR(Table1[[#This Row],[Price '[€']]]/Table1[[#This Row],[Power '[kW']]],)</f>
        <v>296.625</v>
      </c>
      <c r="O209" s="1" t="s">
        <v>159</v>
      </c>
      <c r="P209" s="13" t="s">
        <v>160</v>
      </c>
      <c r="Q209" s="4"/>
    </row>
    <row r="210" spans="1:17" x14ac:dyDescent="0.2">
      <c r="A210">
        <v>20</v>
      </c>
      <c r="B210" t="s">
        <v>149</v>
      </c>
      <c r="C210" s="8" t="s">
        <v>17</v>
      </c>
      <c r="D210" s="8" t="s">
        <v>25</v>
      </c>
      <c r="K210" s="1"/>
      <c r="L210" s="3"/>
      <c r="M210" s="3"/>
      <c r="N210" s="3">
        <v>830</v>
      </c>
      <c r="O210" s="1" t="s">
        <v>30</v>
      </c>
      <c r="P210" s="12" t="s">
        <v>31</v>
      </c>
      <c r="Q210" s="4"/>
    </row>
    <row r="211" spans="1:17" x14ac:dyDescent="0.2">
      <c r="A211">
        <v>20</v>
      </c>
      <c r="B211" t="s">
        <v>149</v>
      </c>
      <c r="C211" s="8" t="s">
        <v>17</v>
      </c>
      <c r="D211" s="8" t="s">
        <v>29</v>
      </c>
      <c r="I211" s="1">
        <v>4.2</v>
      </c>
      <c r="K211" s="1"/>
      <c r="L211" s="3"/>
      <c r="M211" s="3">
        <v>2940.8</v>
      </c>
      <c r="N211" s="3">
        <f>IFERROR(Table1[[#This Row],[Price '[€']]]/Table1[[#This Row],[Power '[kW']]],)</f>
        <v>700.19047619047626</v>
      </c>
      <c r="O211" s="1" t="s">
        <v>27</v>
      </c>
      <c r="P211" s="1" t="s">
        <v>28</v>
      </c>
      <c r="Q211" s="4"/>
    </row>
    <row r="212" spans="1:17" x14ac:dyDescent="0.2">
      <c r="A212">
        <v>21</v>
      </c>
      <c r="B212" t="s">
        <v>161</v>
      </c>
      <c r="C212" s="8" t="s">
        <v>17</v>
      </c>
      <c r="D212" s="8" t="s">
        <v>18</v>
      </c>
      <c r="E212" s="1" t="s">
        <v>33</v>
      </c>
      <c r="F212" s="1">
        <v>30</v>
      </c>
      <c r="G212" s="1">
        <v>0.03</v>
      </c>
      <c r="K212" s="1"/>
      <c r="L212" s="3">
        <v>56.76</v>
      </c>
      <c r="M212" s="3"/>
      <c r="N212" s="3">
        <f>IFERROR(Table1[[#This Row],[Price '[€']]]/Table1[[#This Row],[Power '[kW']]],)</f>
        <v>0</v>
      </c>
      <c r="O212" s="1" t="s">
        <v>162</v>
      </c>
      <c r="P212" s="13" t="s">
        <v>163</v>
      </c>
      <c r="Q212" s="4"/>
    </row>
    <row r="213" spans="1:17" x14ac:dyDescent="0.2">
      <c r="A213">
        <v>21</v>
      </c>
      <c r="B213" t="s">
        <v>161</v>
      </c>
      <c r="C213" s="8" t="s">
        <v>17</v>
      </c>
      <c r="D213" s="8" t="s">
        <v>20</v>
      </c>
      <c r="K213" s="1"/>
      <c r="L213" s="3"/>
      <c r="M213" s="3"/>
      <c r="N213" s="3">
        <f>IFERROR(Table1[[#This Row],[Price '[€']]]/Table1[[#This Row],[Power '[kW']]],)</f>
        <v>0</v>
      </c>
      <c r="Q213" s="4"/>
    </row>
    <row r="214" spans="1:17" x14ac:dyDescent="0.2">
      <c r="A214">
        <v>21</v>
      </c>
      <c r="B214" t="s">
        <v>161</v>
      </c>
      <c r="C214" s="8" t="s">
        <v>17</v>
      </c>
      <c r="D214" s="8" t="s">
        <v>22</v>
      </c>
      <c r="E214" s="1" t="s">
        <v>33</v>
      </c>
      <c r="F214" s="1">
        <v>25</v>
      </c>
      <c r="G214" s="1">
        <v>0.03</v>
      </c>
      <c r="K214" s="1"/>
      <c r="L214" s="3">
        <v>51.6</v>
      </c>
      <c r="M214" s="3"/>
      <c r="N214" s="3">
        <f>IFERROR(Table1[[#This Row],[Price '[€']]]/Table1[[#This Row],[Power '[kW']]],)</f>
        <v>0</v>
      </c>
      <c r="O214" s="1" t="s">
        <v>164</v>
      </c>
      <c r="P214" s="13" t="s">
        <v>165</v>
      </c>
      <c r="Q214" s="4"/>
    </row>
    <row r="215" spans="1:17" x14ac:dyDescent="0.2">
      <c r="A215">
        <v>21</v>
      </c>
      <c r="B215" t="s">
        <v>161</v>
      </c>
      <c r="C215" s="8" t="s">
        <v>17</v>
      </c>
      <c r="D215" s="8" t="s">
        <v>24</v>
      </c>
      <c r="K215" s="1"/>
      <c r="L215" s="3"/>
      <c r="M215" s="3"/>
      <c r="N215" s="3">
        <f>IFERROR(Table1[[#This Row],[Price '[€']]]/Table1[[#This Row],[Power '[kW']]],)</f>
        <v>0</v>
      </c>
      <c r="Q215" s="4"/>
    </row>
    <row r="216" spans="1:17" x14ac:dyDescent="0.2">
      <c r="A216">
        <v>21</v>
      </c>
      <c r="B216" t="s">
        <v>161</v>
      </c>
      <c r="C216" s="8" t="s">
        <v>17</v>
      </c>
      <c r="D216" s="8" t="s">
        <v>23</v>
      </c>
      <c r="E216" s="1" t="s">
        <v>51</v>
      </c>
      <c r="K216" s="1"/>
      <c r="L216" s="3">
        <v>30.48</v>
      </c>
      <c r="M216" s="3"/>
      <c r="N216" s="3">
        <f>IFERROR(Table1[[#This Row],[Price '[€']]]/Table1[[#This Row],[Power '[kW']]],)</f>
        <v>0</v>
      </c>
      <c r="O216" s="1" t="s">
        <v>166</v>
      </c>
      <c r="P216" s="13" t="s">
        <v>167</v>
      </c>
      <c r="Q216" s="4"/>
    </row>
    <row r="217" spans="1:17" x14ac:dyDescent="0.2">
      <c r="A217">
        <v>21</v>
      </c>
      <c r="B217" t="s">
        <v>161</v>
      </c>
      <c r="C217" s="8" t="s">
        <v>17</v>
      </c>
      <c r="D217" s="8" t="s">
        <v>26</v>
      </c>
      <c r="E217" s="1" t="s">
        <v>43</v>
      </c>
      <c r="H217" s="1">
        <v>0.9</v>
      </c>
      <c r="K217" s="1"/>
      <c r="L217" s="3">
        <v>156</v>
      </c>
      <c r="M217" s="3"/>
      <c r="N217" s="3">
        <f>IFERROR(Table1[[#This Row],[Price '[€']]]/Table1[[#This Row],[Power '[kW']]],)</f>
        <v>0</v>
      </c>
      <c r="O217" s="1" t="s">
        <v>168</v>
      </c>
      <c r="P217" s="13" t="s">
        <v>169</v>
      </c>
      <c r="Q217" s="4"/>
    </row>
    <row r="218" spans="1:17" x14ac:dyDescent="0.2">
      <c r="A218">
        <v>21</v>
      </c>
      <c r="B218" t="s">
        <v>161</v>
      </c>
      <c r="C218" s="8" t="s">
        <v>17</v>
      </c>
      <c r="D218" s="8" t="s">
        <v>19</v>
      </c>
      <c r="I218" s="1">
        <v>32</v>
      </c>
      <c r="K218" s="1"/>
      <c r="L218" s="3"/>
      <c r="M218" s="3">
        <v>14520</v>
      </c>
      <c r="N218" s="3">
        <f>IFERROR(Table1[[#This Row],[Price '[€']]]/Table1[[#This Row],[Power '[kW']]],)</f>
        <v>453.75</v>
      </c>
      <c r="O218" s="1" t="s">
        <v>170</v>
      </c>
      <c r="P218" s="13" t="s">
        <v>171</v>
      </c>
      <c r="Q218" s="4"/>
    </row>
    <row r="219" spans="1:17" x14ac:dyDescent="0.2">
      <c r="A219">
        <v>21</v>
      </c>
      <c r="B219" t="s">
        <v>161</v>
      </c>
      <c r="C219" s="8" t="s">
        <v>17</v>
      </c>
      <c r="D219" s="8" t="s">
        <v>21</v>
      </c>
      <c r="I219" s="1">
        <v>22</v>
      </c>
      <c r="K219" s="1"/>
      <c r="L219" s="3"/>
      <c r="M219" s="3">
        <v>6000</v>
      </c>
      <c r="N219" s="3">
        <f>IFERROR(Table1[[#This Row],[Price '[€']]]/Table1[[#This Row],[Power '[kW']]],)</f>
        <v>272.72727272727275</v>
      </c>
      <c r="O219" s="1" t="s">
        <v>168</v>
      </c>
      <c r="P219" s="13" t="s">
        <v>169</v>
      </c>
      <c r="Q219" s="4"/>
    </row>
    <row r="220" spans="1:17" x14ac:dyDescent="0.2">
      <c r="A220">
        <v>21</v>
      </c>
      <c r="B220" t="s">
        <v>161</v>
      </c>
      <c r="C220" s="8" t="s">
        <v>17</v>
      </c>
      <c r="D220" s="8" t="s">
        <v>25</v>
      </c>
      <c r="I220" s="1">
        <v>1</v>
      </c>
      <c r="K220" s="1"/>
      <c r="L220" s="3"/>
      <c r="M220" s="3">
        <v>969</v>
      </c>
      <c r="N220" s="3">
        <f>IFERROR(Table1[[#This Row],[Price '[€']]]/Table1[[#This Row],[Power '[kW']]],)</f>
        <v>969</v>
      </c>
      <c r="O220" s="1" t="s">
        <v>172</v>
      </c>
      <c r="P220" s="13" t="s">
        <v>173</v>
      </c>
      <c r="Q220" s="4"/>
    </row>
    <row r="221" spans="1:17" x14ac:dyDescent="0.2">
      <c r="A221">
        <v>21</v>
      </c>
      <c r="B221" t="s">
        <v>161</v>
      </c>
      <c r="C221" s="8" t="s">
        <v>17</v>
      </c>
      <c r="D221" s="8" t="s">
        <v>29</v>
      </c>
      <c r="I221" s="1">
        <v>4.2</v>
      </c>
      <c r="K221" s="1"/>
      <c r="L221" s="3"/>
      <c r="M221" s="3">
        <v>2128.7399999999998</v>
      </c>
      <c r="N221" s="3">
        <f>IFERROR(Table1[[#This Row],[Price '[€']]]/Table1[[#This Row],[Power '[kW']]],)</f>
        <v>506.84285714285704</v>
      </c>
      <c r="O221" s="1" t="s">
        <v>27</v>
      </c>
      <c r="P221" s="1" t="s">
        <v>28</v>
      </c>
      <c r="Q221" s="4"/>
    </row>
    <row r="222" spans="1:17" x14ac:dyDescent="0.2">
      <c r="A222">
        <v>22</v>
      </c>
      <c r="B222" t="s">
        <v>174</v>
      </c>
      <c r="C222" s="8" t="s">
        <v>17</v>
      </c>
      <c r="D222" s="8" t="s">
        <v>18</v>
      </c>
      <c r="F222" s="1">
        <v>6</v>
      </c>
      <c r="G222" s="1">
        <v>3.7999999999999999E-2</v>
      </c>
      <c r="K222" s="3"/>
      <c r="L222" s="3">
        <v>78.25</v>
      </c>
      <c r="M222" s="1"/>
      <c r="N222" s="9">
        <f>IFERROR(Table1[[#This Row],[Price '[€']]]/Table1[[#This Row],[Power '[kW']]],)</f>
        <v>0</v>
      </c>
      <c r="O222" s="1" t="s">
        <v>209</v>
      </c>
      <c r="Q222" s="4"/>
    </row>
    <row r="223" spans="1:17" x14ac:dyDescent="0.2">
      <c r="A223">
        <v>22</v>
      </c>
      <c r="B223" t="s">
        <v>174</v>
      </c>
      <c r="C223" s="8" t="s">
        <v>17</v>
      </c>
      <c r="D223" s="8" t="s">
        <v>20</v>
      </c>
      <c r="F223" s="1">
        <v>1</v>
      </c>
      <c r="G223" s="1">
        <v>3.7999999999999999E-2</v>
      </c>
      <c r="K223" s="3"/>
      <c r="L223" s="3">
        <v>1.93</v>
      </c>
      <c r="M223" s="1"/>
      <c r="N223" s="9">
        <f>IFERROR(Table1[[#This Row],[Price '[€']]]/Table1[[#This Row],[Power '[kW']]],)</f>
        <v>0</v>
      </c>
      <c r="O223" s="1" t="s">
        <v>209</v>
      </c>
      <c r="Q223" s="4"/>
    </row>
    <row r="224" spans="1:17" x14ac:dyDescent="0.2">
      <c r="A224">
        <v>22</v>
      </c>
      <c r="B224" t="s">
        <v>174</v>
      </c>
      <c r="C224" s="8" t="s">
        <v>17</v>
      </c>
      <c r="D224" s="8" t="s">
        <v>22</v>
      </c>
      <c r="F224" s="1">
        <v>10</v>
      </c>
      <c r="G224" s="1">
        <v>3.7999999999999999E-2</v>
      </c>
      <c r="K224" s="3"/>
      <c r="L224" s="3">
        <v>140.94</v>
      </c>
      <c r="M224" s="1"/>
      <c r="N224" s="9">
        <f>IFERROR(Table1[[#This Row],[Price '[€']]]/Table1[[#This Row],[Power '[kW']]],)</f>
        <v>0</v>
      </c>
      <c r="O224" s="1" t="s">
        <v>209</v>
      </c>
      <c r="Q224" s="4"/>
    </row>
    <row r="225" spans="1:17" x14ac:dyDescent="0.2">
      <c r="A225">
        <v>22</v>
      </c>
      <c r="B225" t="s">
        <v>174</v>
      </c>
      <c r="C225" s="8" t="s">
        <v>17</v>
      </c>
      <c r="D225" s="8" t="s">
        <v>24</v>
      </c>
      <c r="F225" s="1">
        <v>10</v>
      </c>
      <c r="G225" s="1">
        <v>3.7999999999999999E-2</v>
      </c>
      <c r="K225" s="3"/>
      <c r="L225" s="3">
        <v>120.83</v>
      </c>
      <c r="M225" s="1"/>
      <c r="N225" s="9">
        <f>IFERROR(Table1[[#This Row],[Price '[€']]]/Table1[[#This Row],[Power '[kW']]],)</f>
        <v>0</v>
      </c>
      <c r="O225" s="1" t="s">
        <v>209</v>
      </c>
      <c r="Q225" s="4"/>
    </row>
    <row r="226" spans="1:17" x14ac:dyDescent="0.2">
      <c r="A226">
        <v>22</v>
      </c>
      <c r="B226" t="s">
        <v>174</v>
      </c>
      <c r="C226" s="8" t="s">
        <v>17</v>
      </c>
      <c r="D226" s="8" t="s">
        <v>23</v>
      </c>
      <c r="F226" s="1">
        <v>6</v>
      </c>
      <c r="G226" s="1">
        <v>3.7999999999999999E-2</v>
      </c>
      <c r="K226" s="3"/>
      <c r="L226" s="3">
        <v>35.14</v>
      </c>
      <c r="M226" s="1"/>
      <c r="N226" s="9">
        <f>IFERROR(Table1[[#This Row],[Price '[€']]]/Table1[[#This Row],[Power '[kW']]],)</f>
        <v>0</v>
      </c>
      <c r="O226" s="1" t="s">
        <v>209</v>
      </c>
      <c r="Q226" s="4"/>
    </row>
    <row r="227" spans="1:17" x14ac:dyDescent="0.2">
      <c r="A227">
        <v>22</v>
      </c>
      <c r="B227" t="s">
        <v>174</v>
      </c>
      <c r="C227" s="8" t="s">
        <v>17</v>
      </c>
      <c r="D227" s="8" t="s">
        <v>26</v>
      </c>
      <c r="H227" s="1">
        <v>1.4</v>
      </c>
      <c r="K227" s="3"/>
      <c r="L227" s="3">
        <v>279.27</v>
      </c>
      <c r="M227" s="1"/>
      <c r="N227" s="9">
        <f>IFERROR(Table1[[#This Row],[Price '[€']]]/Table1[[#This Row],[Power '[kW']]],)</f>
        <v>0</v>
      </c>
      <c r="O227" s="1" t="s">
        <v>209</v>
      </c>
      <c r="Q227" s="4"/>
    </row>
    <row r="228" spans="1:17" x14ac:dyDescent="0.2">
      <c r="A228">
        <v>22</v>
      </c>
      <c r="B228" t="s">
        <v>174</v>
      </c>
      <c r="C228" s="8" t="s">
        <v>17</v>
      </c>
      <c r="D228" s="8" t="s">
        <v>19</v>
      </c>
      <c r="I228" s="1">
        <v>7</v>
      </c>
      <c r="K228" s="3"/>
      <c r="L228" s="3"/>
      <c r="M228" s="10">
        <v>9872.58</v>
      </c>
      <c r="N228" s="9">
        <f>IFERROR(Table1[[#This Row],[Price '[€']]]/Table1[[#This Row],[Power '[kW']]],)</f>
        <v>1410.3685714285714</v>
      </c>
      <c r="O228" s="1" t="s">
        <v>27</v>
      </c>
      <c r="P228" s="11" t="s">
        <v>28</v>
      </c>
      <c r="Q228" s="4"/>
    </row>
    <row r="229" spans="1:17" x14ac:dyDescent="0.2">
      <c r="A229">
        <v>22</v>
      </c>
      <c r="B229" t="s">
        <v>174</v>
      </c>
      <c r="C229" s="8" t="s">
        <v>17</v>
      </c>
      <c r="D229" s="8" t="s">
        <v>21</v>
      </c>
      <c r="I229" s="1">
        <v>14</v>
      </c>
      <c r="K229" s="3"/>
      <c r="L229" s="3"/>
      <c r="M229" s="10">
        <v>3338.15</v>
      </c>
      <c r="N229" s="9">
        <f>IFERROR(Table1[[#This Row],[Price '[€']]]/Table1[[#This Row],[Power '[kW']]],)</f>
        <v>238.43928571428572</v>
      </c>
      <c r="O229" s="1" t="s">
        <v>27</v>
      </c>
      <c r="P229" s="1" t="s">
        <v>28</v>
      </c>
      <c r="Q229" s="4"/>
    </row>
    <row r="230" spans="1:17" x14ac:dyDescent="0.2">
      <c r="A230">
        <v>22</v>
      </c>
      <c r="B230" t="s">
        <v>174</v>
      </c>
      <c r="C230" s="8" t="s">
        <v>17</v>
      </c>
      <c r="D230" s="8" t="s">
        <v>25</v>
      </c>
      <c r="K230" s="3"/>
      <c r="L230" s="3"/>
      <c r="M230" s="1"/>
      <c r="N230" s="9">
        <v>1150</v>
      </c>
      <c r="O230" s="1" t="s">
        <v>30</v>
      </c>
      <c r="P230" s="12" t="s">
        <v>31</v>
      </c>
      <c r="Q230" s="4"/>
    </row>
    <row r="231" spans="1:17" x14ac:dyDescent="0.2">
      <c r="A231">
        <v>22</v>
      </c>
      <c r="B231" t="s">
        <v>174</v>
      </c>
      <c r="C231" s="8" t="s">
        <v>17</v>
      </c>
      <c r="D231" s="1" t="s">
        <v>29</v>
      </c>
      <c r="I231" s="1">
        <v>4.2</v>
      </c>
      <c r="K231" s="3"/>
      <c r="L231" s="3"/>
      <c r="M231" s="1">
        <v>2180.66</v>
      </c>
      <c r="N231" s="9">
        <f>IFERROR(Table1[[#This Row],[Price '[€']]]/Table1[[#This Row],[Power '[kW']]],)</f>
        <v>519.20476190476188</v>
      </c>
      <c r="O231" s="1" t="s">
        <v>27</v>
      </c>
      <c r="P231" s="1" t="s">
        <v>28</v>
      </c>
      <c r="Q231" s="4"/>
    </row>
    <row r="232" spans="1:17" x14ac:dyDescent="0.2">
      <c r="A232">
        <v>23</v>
      </c>
      <c r="B232" t="s">
        <v>175</v>
      </c>
      <c r="C232" s="8" t="s">
        <v>17</v>
      </c>
      <c r="D232" s="8" t="s">
        <v>18</v>
      </c>
      <c r="E232" s="1" t="s">
        <v>51</v>
      </c>
      <c r="F232" s="1">
        <v>10</v>
      </c>
      <c r="G232" s="1">
        <v>3.7999999999999999E-2</v>
      </c>
      <c r="K232" s="1"/>
      <c r="L232" s="3">
        <v>46</v>
      </c>
      <c r="M232" s="3"/>
      <c r="N232" s="3">
        <f>IFERROR(Table1[[#This Row],[Price '[€']]]/Table1[[#This Row],[Power '[kW']]],)</f>
        <v>0</v>
      </c>
      <c r="O232" s="1" t="s">
        <v>176</v>
      </c>
      <c r="P232" s="13" t="s">
        <v>177</v>
      </c>
      <c r="Q232" s="4"/>
    </row>
    <row r="233" spans="1:17" x14ac:dyDescent="0.2">
      <c r="A233">
        <v>23</v>
      </c>
      <c r="B233" t="s">
        <v>175</v>
      </c>
      <c r="C233" s="8" t="s">
        <v>17</v>
      </c>
      <c r="D233" s="8" t="s">
        <v>20</v>
      </c>
      <c r="E233" s="1" t="s">
        <v>51</v>
      </c>
      <c r="F233" s="1">
        <v>2</v>
      </c>
      <c r="G233" s="1">
        <v>3.7999999999999999E-2</v>
      </c>
      <c r="K233" s="1"/>
      <c r="L233" s="3">
        <v>1.4</v>
      </c>
      <c r="M233" s="3"/>
      <c r="N233" s="3">
        <f>IFERROR(Table1[[#This Row],[Price '[€']]]/Table1[[#This Row],[Power '[kW']]],)</f>
        <v>0</v>
      </c>
      <c r="O233" s="1" t="s">
        <v>176</v>
      </c>
      <c r="P233" s="13" t="s">
        <v>177</v>
      </c>
      <c r="Q233" s="4"/>
    </row>
    <row r="234" spans="1:17" x14ac:dyDescent="0.2">
      <c r="A234">
        <v>23</v>
      </c>
      <c r="B234" t="s">
        <v>175</v>
      </c>
      <c r="C234" s="8" t="s">
        <v>17</v>
      </c>
      <c r="D234" s="8" t="s">
        <v>22</v>
      </c>
      <c r="E234" s="1" t="s">
        <v>33</v>
      </c>
      <c r="F234" s="1">
        <v>16</v>
      </c>
      <c r="G234" s="1">
        <v>3.7999999999999999E-2</v>
      </c>
      <c r="K234" s="1"/>
      <c r="L234" s="3">
        <v>20.399999999999999</v>
      </c>
      <c r="M234" s="3"/>
      <c r="N234" s="3">
        <f>IFERROR(Table1[[#This Row],[Price '[€']]]/Table1[[#This Row],[Power '[kW']]],)</f>
        <v>0</v>
      </c>
      <c r="O234" s="1" t="s">
        <v>178</v>
      </c>
      <c r="P234" s="1" t="s">
        <v>179</v>
      </c>
      <c r="Q234" s="4"/>
    </row>
    <row r="235" spans="1:17" x14ac:dyDescent="0.2">
      <c r="A235">
        <v>23</v>
      </c>
      <c r="B235" t="s">
        <v>175</v>
      </c>
      <c r="C235" s="8" t="s">
        <v>17</v>
      </c>
      <c r="D235" s="8" t="s">
        <v>24</v>
      </c>
      <c r="E235" s="1" t="s">
        <v>33</v>
      </c>
      <c r="F235" s="1">
        <v>16</v>
      </c>
      <c r="G235" s="1">
        <v>3.7999999999999999E-2</v>
      </c>
      <c r="K235" s="1"/>
      <c r="L235" s="3">
        <v>62.4</v>
      </c>
      <c r="M235" s="3"/>
      <c r="N235" s="3">
        <f>IFERROR(Table1[[#This Row],[Price '[€']]]/Table1[[#This Row],[Power '[kW']]],)</f>
        <v>0</v>
      </c>
      <c r="O235" s="1" t="s">
        <v>178</v>
      </c>
      <c r="P235" s="1" t="s">
        <v>179</v>
      </c>
      <c r="Q235" s="4"/>
    </row>
    <row r="236" spans="1:17" x14ac:dyDescent="0.2">
      <c r="A236">
        <v>23</v>
      </c>
      <c r="B236" t="s">
        <v>175</v>
      </c>
      <c r="C236" s="8" t="s">
        <v>17</v>
      </c>
      <c r="D236" s="8" t="s">
        <v>23</v>
      </c>
      <c r="K236" s="1"/>
      <c r="L236" s="3"/>
      <c r="M236" s="3"/>
      <c r="N236" s="3">
        <f>IFERROR(Table1[[#This Row],[Price '[€']]]/Table1[[#This Row],[Power '[kW']]],)</f>
        <v>0</v>
      </c>
      <c r="Q236" s="4"/>
    </row>
    <row r="237" spans="1:17" x14ac:dyDescent="0.2">
      <c r="A237">
        <v>23</v>
      </c>
      <c r="B237" t="s">
        <v>175</v>
      </c>
      <c r="C237" s="8" t="s">
        <v>17</v>
      </c>
      <c r="D237" s="8" t="s">
        <v>26</v>
      </c>
      <c r="E237" s="1" t="s">
        <v>43</v>
      </c>
      <c r="H237" s="1">
        <v>1.1000000000000001</v>
      </c>
      <c r="K237" s="1"/>
      <c r="L237" s="3">
        <v>170</v>
      </c>
      <c r="M237" s="3"/>
      <c r="N237" s="3">
        <f>IFERROR(Table1[[#This Row],[Price '[€']]]/Table1[[#This Row],[Power '[kW']]],)</f>
        <v>0</v>
      </c>
      <c r="O237" s="1" t="s">
        <v>180</v>
      </c>
      <c r="P237" s="13" t="s">
        <v>181</v>
      </c>
      <c r="Q237" s="4"/>
    </row>
    <row r="238" spans="1:17" x14ac:dyDescent="0.2">
      <c r="A238">
        <v>23</v>
      </c>
      <c r="B238" t="s">
        <v>175</v>
      </c>
      <c r="C238" s="8" t="s">
        <v>17</v>
      </c>
      <c r="D238" s="8" t="s">
        <v>19</v>
      </c>
      <c r="I238" s="1">
        <v>12</v>
      </c>
      <c r="K238" s="1"/>
      <c r="L238" s="3"/>
      <c r="M238" s="3">
        <v>6000</v>
      </c>
      <c r="N238" s="3">
        <f>IFERROR(Table1[[#This Row],[Price '[€']]]/Table1[[#This Row],[Power '[kW']]],)</f>
        <v>500</v>
      </c>
      <c r="O238" s="1" t="s">
        <v>182</v>
      </c>
      <c r="P238" s="1" t="s">
        <v>183</v>
      </c>
      <c r="Q238" s="4"/>
    </row>
    <row r="239" spans="1:17" x14ac:dyDescent="0.2">
      <c r="A239">
        <v>23</v>
      </c>
      <c r="B239" t="s">
        <v>175</v>
      </c>
      <c r="C239" s="8" t="s">
        <v>17</v>
      </c>
      <c r="D239" s="8" t="s">
        <v>21</v>
      </c>
      <c r="I239" s="1">
        <v>14</v>
      </c>
      <c r="K239" s="1"/>
      <c r="L239" s="3"/>
      <c r="M239" s="3">
        <v>3099.79</v>
      </c>
      <c r="N239" s="3">
        <f>IFERROR(Table1[[#This Row],[Price '[€']]]/Table1[[#This Row],[Power '[kW']]],)</f>
        <v>221.41357142857143</v>
      </c>
      <c r="O239" s="1" t="s">
        <v>27</v>
      </c>
      <c r="P239" s="1" t="s">
        <v>28</v>
      </c>
      <c r="Q239" s="4"/>
    </row>
    <row r="240" spans="1:17" x14ac:dyDescent="0.2">
      <c r="A240">
        <v>23</v>
      </c>
      <c r="B240" t="s">
        <v>175</v>
      </c>
      <c r="C240" s="8" t="s">
        <v>17</v>
      </c>
      <c r="D240" s="8" t="s">
        <v>25</v>
      </c>
      <c r="K240" s="1"/>
      <c r="L240" s="3"/>
      <c r="M240" s="3"/>
      <c r="N240" s="3">
        <v>1510</v>
      </c>
      <c r="O240" s="1" t="s">
        <v>30</v>
      </c>
      <c r="P240" s="12" t="s">
        <v>31</v>
      </c>
      <c r="Q240" s="4"/>
    </row>
    <row r="241" spans="1:17" x14ac:dyDescent="0.2">
      <c r="A241">
        <v>23</v>
      </c>
      <c r="B241" t="s">
        <v>175</v>
      </c>
      <c r="C241" s="8" t="s">
        <v>17</v>
      </c>
      <c r="D241" s="8" t="s">
        <v>29</v>
      </c>
      <c r="I241" s="1">
        <v>4.2</v>
      </c>
      <c r="K241" s="1"/>
      <c r="L241" s="3"/>
      <c r="M241" s="3">
        <v>1980.23</v>
      </c>
      <c r="N241" s="3">
        <f>IFERROR(Table1[[#This Row],[Price '[€']]]/Table1[[#This Row],[Power '[kW']]],)</f>
        <v>471.48333333333329</v>
      </c>
      <c r="O241" s="1" t="s">
        <v>27</v>
      </c>
      <c r="P241" s="1" t="s">
        <v>28</v>
      </c>
      <c r="Q241" s="4"/>
    </row>
    <row r="242" spans="1:17" x14ac:dyDescent="0.2">
      <c r="A242">
        <v>24</v>
      </c>
      <c r="B242" t="s">
        <v>184</v>
      </c>
      <c r="C242" s="8" t="s">
        <v>17</v>
      </c>
      <c r="D242" s="8" t="s">
        <v>18</v>
      </c>
      <c r="E242" s="1" t="s">
        <v>51</v>
      </c>
      <c r="F242" s="1">
        <v>15</v>
      </c>
      <c r="G242" s="1">
        <v>0.03</v>
      </c>
      <c r="K242" s="1"/>
      <c r="L242" s="3">
        <v>77.31</v>
      </c>
      <c r="M242" s="3"/>
      <c r="N242" s="3">
        <f>IFERROR(Table1[[#This Row],[Price '[€']]]/Table1[[#This Row],[Power '[kW']]],)</f>
        <v>0</v>
      </c>
      <c r="O242" s="1" t="s">
        <v>185</v>
      </c>
      <c r="P242" s="13" t="s">
        <v>186</v>
      </c>
      <c r="Q242" s="4"/>
    </row>
    <row r="243" spans="1:17" x14ac:dyDescent="0.2">
      <c r="A243">
        <v>24</v>
      </c>
      <c r="B243" t="s">
        <v>184</v>
      </c>
      <c r="C243" s="8" t="s">
        <v>17</v>
      </c>
      <c r="D243" s="8" t="s">
        <v>20</v>
      </c>
      <c r="E243" s="1" t="s">
        <v>51</v>
      </c>
      <c r="F243" s="1">
        <v>15</v>
      </c>
      <c r="G243" s="1">
        <v>0.03</v>
      </c>
      <c r="K243" s="1"/>
      <c r="L243" s="3">
        <v>14.21</v>
      </c>
      <c r="M243" s="3"/>
      <c r="N243" s="3">
        <f>IFERROR(Table1[[#This Row],[Price '[€']]]/Table1[[#This Row],[Power '[kW']]],)</f>
        <v>0</v>
      </c>
      <c r="O243" s="1" t="s">
        <v>187</v>
      </c>
      <c r="P243" s="13" t="s">
        <v>186</v>
      </c>
      <c r="Q243" s="4"/>
    </row>
    <row r="244" spans="1:17" x14ac:dyDescent="0.2">
      <c r="A244">
        <v>24</v>
      </c>
      <c r="B244" t="s">
        <v>184</v>
      </c>
      <c r="C244" s="8" t="s">
        <v>17</v>
      </c>
      <c r="D244" s="8" t="s">
        <v>22</v>
      </c>
      <c r="K244" s="1"/>
      <c r="L244" s="3">
        <v>27.6</v>
      </c>
      <c r="M244" s="3"/>
      <c r="N244" s="3">
        <f>IFERROR(Table1[[#This Row],[Price '[€']]]/Table1[[#This Row],[Power '[kW']]],)</f>
        <v>0</v>
      </c>
      <c r="O244" s="1" t="s">
        <v>188</v>
      </c>
      <c r="P244" s="13" t="s">
        <v>189</v>
      </c>
      <c r="Q244" s="4"/>
    </row>
    <row r="245" spans="1:17" x14ac:dyDescent="0.2">
      <c r="A245">
        <v>24</v>
      </c>
      <c r="B245" t="s">
        <v>184</v>
      </c>
      <c r="C245" s="8" t="s">
        <v>17</v>
      </c>
      <c r="D245" s="8" t="s">
        <v>24</v>
      </c>
      <c r="K245" s="1"/>
      <c r="L245" s="3"/>
      <c r="M245" s="3"/>
      <c r="N245" s="3">
        <f>IFERROR(Table1[[#This Row],[Price '[€']]]/Table1[[#This Row],[Power '[kW']]],)</f>
        <v>0</v>
      </c>
      <c r="Q245" s="4"/>
    </row>
    <row r="246" spans="1:17" x14ac:dyDescent="0.2">
      <c r="A246">
        <v>24</v>
      </c>
      <c r="B246" t="s">
        <v>184</v>
      </c>
      <c r="C246" s="8" t="s">
        <v>17</v>
      </c>
      <c r="D246" s="8" t="s">
        <v>23</v>
      </c>
      <c r="E246" s="1" t="s">
        <v>67</v>
      </c>
      <c r="F246" s="1">
        <v>10</v>
      </c>
      <c r="G246" s="1">
        <v>3.5000000000000003E-2</v>
      </c>
      <c r="K246" s="1"/>
      <c r="L246" s="3">
        <v>44</v>
      </c>
      <c r="M246" s="3"/>
      <c r="N246" s="3">
        <f>IFERROR(Table1[[#This Row],[Price '[€']]]/Table1[[#This Row],[Power '[kW']]],)</f>
        <v>0</v>
      </c>
      <c r="O246" s="1" t="s">
        <v>190</v>
      </c>
      <c r="P246" s="13" t="s">
        <v>191</v>
      </c>
      <c r="Q246" s="4"/>
    </row>
    <row r="247" spans="1:17" x14ac:dyDescent="0.2">
      <c r="A247">
        <v>24</v>
      </c>
      <c r="B247" t="s">
        <v>184</v>
      </c>
      <c r="C247" s="8" t="s">
        <v>17</v>
      </c>
      <c r="D247" s="8" t="s">
        <v>26</v>
      </c>
      <c r="E247" s="1" t="s">
        <v>111</v>
      </c>
      <c r="H247" s="1">
        <v>0.8</v>
      </c>
      <c r="K247" s="1"/>
      <c r="L247" s="3">
        <v>801</v>
      </c>
      <c r="M247" s="3"/>
      <c r="N247" s="3">
        <f>IFERROR(Table1[[#This Row],[Price '[€']]]/Table1[[#This Row],[Power '[kW']]],)</f>
        <v>0</v>
      </c>
      <c r="O247" s="1" t="s">
        <v>188</v>
      </c>
      <c r="P247" s="13" t="s">
        <v>189</v>
      </c>
      <c r="Q247" s="4"/>
    </row>
    <row r="248" spans="1:17" x14ac:dyDescent="0.2">
      <c r="A248">
        <v>24</v>
      </c>
      <c r="B248" t="s">
        <v>184</v>
      </c>
      <c r="C248" s="8" t="s">
        <v>17</v>
      </c>
      <c r="D248" s="8" t="s">
        <v>19</v>
      </c>
      <c r="I248" s="1">
        <v>1</v>
      </c>
      <c r="K248" s="1"/>
      <c r="L248" s="3"/>
      <c r="M248" s="3">
        <v>1092.5</v>
      </c>
      <c r="N248" s="3">
        <f>IFERROR(Table1[[#This Row],[Price '[€']]]/Table1[[#This Row],[Power '[kW']]],)</f>
        <v>1092.5</v>
      </c>
      <c r="O248" s="1" t="s">
        <v>192</v>
      </c>
      <c r="P248" s="13" t="s">
        <v>189</v>
      </c>
      <c r="Q248" s="4"/>
    </row>
    <row r="249" spans="1:17" x14ac:dyDescent="0.2">
      <c r="A249">
        <v>24</v>
      </c>
      <c r="B249" t="s">
        <v>184</v>
      </c>
      <c r="C249" s="8" t="s">
        <v>17</v>
      </c>
      <c r="D249" s="8" t="s">
        <v>21</v>
      </c>
      <c r="K249" s="1"/>
      <c r="L249" s="3"/>
      <c r="M249" s="3">
        <v>1725</v>
      </c>
      <c r="N249" s="3">
        <f>IFERROR(Table1[[#This Row],[Price '[€']]]/Table1[[#This Row],[Power '[kW']]],)</f>
        <v>0</v>
      </c>
      <c r="O249" s="1" t="s">
        <v>193</v>
      </c>
      <c r="P249" s="13" t="s">
        <v>189</v>
      </c>
      <c r="Q249" s="4"/>
    </row>
    <row r="250" spans="1:17" x14ac:dyDescent="0.2">
      <c r="A250">
        <v>24</v>
      </c>
      <c r="B250" t="s">
        <v>184</v>
      </c>
      <c r="C250" s="8" t="s">
        <v>17</v>
      </c>
      <c r="D250" s="8" t="s">
        <v>25</v>
      </c>
      <c r="K250" s="1"/>
      <c r="L250" s="3"/>
      <c r="M250" s="3"/>
      <c r="N250" s="3">
        <v>1080</v>
      </c>
      <c r="O250" s="1" t="s">
        <v>194</v>
      </c>
      <c r="P250" s="13" t="s">
        <v>189</v>
      </c>
      <c r="Q250" s="4"/>
    </row>
    <row r="251" spans="1:17" x14ac:dyDescent="0.2">
      <c r="A251">
        <v>24</v>
      </c>
      <c r="B251" t="s">
        <v>184</v>
      </c>
      <c r="C251" s="8" t="s">
        <v>17</v>
      </c>
      <c r="D251" s="8" t="s">
        <v>29</v>
      </c>
      <c r="I251" s="1">
        <v>4.2</v>
      </c>
      <c r="K251" s="1"/>
      <c r="L251" s="3"/>
      <c r="M251" s="3">
        <v>2180.66</v>
      </c>
      <c r="N251" s="3">
        <f>IFERROR(Table1[[#This Row],[Price '[€']]]/Table1[[#This Row],[Power '[kW']]],)</f>
        <v>519.20476190476188</v>
      </c>
      <c r="O251" s="1" t="s">
        <v>27</v>
      </c>
      <c r="P251" s="1" t="s">
        <v>28</v>
      </c>
      <c r="Q251" s="4"/>
    </row>
    <row r="252" spans="1:17" x14ac:dyDescent="0.2">
      <c r="A252">
        <v>25</v>
      </c>
      <c r="B252" t="s">
        <v>195</v>
      </c>
      <c r="C252" s="8" t="s">
        <v>17</v>
      </c>
      <c r="D252" s="8" t="s">
        <v>18</v>
      </c>
      <c r="F252" s="1">
        <v>10</v>
      </c>
      <c r="G252" s="1">
        <v>3.5999999999999997E-2</v>
      </c>
      <c r="K252" s="3"/>
      <c r="L252" s="3">
        <v>94.39</v>
      </c>
      <c r="M252" s="1"/>
      <c r="N252" s="9">
        <f>IFERROR(Table1[[#This Row],[Price '[€']]]/Table1[[#This Row],[Power '[kW']]],)</f>
        <v>0</v>
      </c>
      <c r="O252" s="1" t="s">
        <v>209</v>
      </c>
      <c r="Q252" s="4"/>
    </row>
    <row r="253" spans="1:17" x14ac:dyDescent="0.2">
      <c r="A253">
        <v>25</v>
      </c>
      <c r="B253" t="s">
        <v>195</v>
      </c>
      <c r="C253" s="8" t="s">
        <v>17</v>
      </c>
      <c r="D253" s="8" t="s">
        <v>20</v>
      </c>
      <c r="F253" s="1">
        <v>1</v>
      </c>
      <c r="G253" s="1">
        <v>3.5999999999999997E-2</v>
      </c>
      <c r="K253" s="3"/>
      <c r="L253" s="3">
        <v>2.33</v>
      </c>
      <c r="M253" s="1"/>
      <c r="N253" s="9">
        <f>IFERROR(Table1[[#This Row],[Price '[€']]]/Table1[[#This Row],[Power '[kW']]],)</f>
        <v>0</v>
      </c>
      <c r="O253" s="1" t="s">
        <v>209</v>
      </c>
      <c r="Q253" s="4"/>
    </row>
    <row r="254" spans="1:17" x14ac:dyDescent="0.2">
      <c r="A254">
        <v>25</v>
      </c>
      <c r="B254" t="s">
        <v>195</v>
      </c>
      <c r="C254" s="8" t="s">
        <v>17</v>
      </c>
      <c r="D254" s="8" t="s">
        <v>22</v>
      </c>
      <c r="F254" s="1">
        <v>10</v>
      </c>
      <c r="G254" s="1">
        <v>3.5999999999999997E-2</v>
      </c>
      <c r="K254" s="3"/>
      <c r="L254" s="3">
        <v>170.01</v>
      </c>
      <c r="M254" s="1"/>
      <c r="N254" s="9">
        <f>IFERROR(Table1[[#This Row],[Price '[€']]]/Table1[[#This Row],[Power '[kW']]],)</f>
        <v>0</v>
      </c>
      <c r="O254" s="1" t="s">
        <v>209</v>
      </c>
      <c r="Q254" s="4"/>
    </row>
    <row r="255" spans="1:17" x14ac:dyDescent="0.2">
      <c r="A255">
        <v>25</v>
      </c>
      <c r="B255" t="s">
        <v>195</v>
      </c>
      <c r="C255" s="8" t="s">
        <v>17</v>
      </c>
      <c r="D255" s="8" t="s">
        <v>24</v>
      </c>
      <c r="F255" s="1">
        <v>10</v>
      </c>
      <c r="G255" s="1">
        <v>3.5999999999999997E-2</v>
      </c>
      <c r="K255" s="3"/>
      <c r="L255" s="3">
        <v>145.76</v>
      </c>
      <c r="M255" s="1"/>
      <c r="N255" s="9">
        <f>IFERROR(Table1[[#This Row],[Price '[€']]]/Table1[[#This Row],[Power '[kW']]],)</f>
        <v>0</v>
      </c>
      <c r="O255" s="1" t="s">
        <v>209</v>
      </c>
      <c r="Q255" s="4"/>
    </row>
    <row r="256" spans="1:17" x14ac:dyDescent="0.2">
      <c r="A256">
        <v>25</v>
      </c>
      <c r="B256" t="s">
        <v>195</v>
      </c>
      <c r="C256" s="8" t="s">
        <v>17</v>
      </c>
      <c r="D256" s="8" t="s">
        <v>23</v>
      </c>
      <c r="F256" s="1">
        <v>8</v>
      </c>
      <c r="G256" s="1">
        <v>3.5999999999999997E-2</v>
      </c>
      <c r="K256" s="3"/>
      <c r="L256" s="3">
        <v>42.39</v>
      </c>
      <c r="M256" s="1"/>
      <c r="N256" s="9">
        <f>IFERROR(Table1[[#This Row],[Price '[€']]]/Table1[[#This Row],[Power '[kW']]],)</f>
        <v>0</v>
      </c>
      <c r="O256" s="1" t="s">
        <v>209</v>
      </c>
      <c r="Q256" s="4"/>
    </row>
    <row r="257" spans="1:17" x14ac:dyDescent="0.2">
      <c r="A257">
        <v>25</v>
      </c>
      <c r="B257" t="s">
        <v>195</v>
      </c>
      <c r="C257" s="8" t="s">
        <v>17</v>
      </c>
      <c r="D257" s="8" t="s">
        <v>26</v>
      </c>
      <c r="H257" s="1">
        <v>1.3</v>
      </c>
      <c r="K257" s="3"/>
      <c r="L257" s="3">
        <v>336.88</v>
      </c>
      <c r="M257" s="1"/>
      <c r="N257" s="9">
        <f>IFERROR(Table1[[#This Row],[Price '[€']]]/Table1[[#This Row],[Power '[kW']]],)</f>
        <v>0</v>
      </c>
      <c r="O257" s="1" t="s">
        <v>209</v>
      </c>
      <c r="Q257" s="4"/>
    </row>
    <row r="258" spans="1:17" x14ac:dyDescent="0.2">
      <c r="A258">
        <v>25</v>
      </c>
      <c r="B258" t="s">
        <v>195</v>
      </c>
      <c r="C258" s="8" t="s">
        <v>17</v>
      </c>
      <c r="D258" s="8" t="s">
        <v>19</v>
      </c>
      <c r="I258" s="1">
        <v>7</v>
      </c>
      <c r="K258" s="3"/>
      <c r="L258" s="3"/>
      <c r="M258" s="10">
        <v>10609.78</v>
      </c>
      <c r="N258" s="9">
        <f>IFERROR(Table1[[#This Row],[Price '[€']]]/Table1[[#This Row],[Power '[kW']]],)</f>
        <v>1515.6828571428573</v>
      </c>
      <c r="O258" s="1" t="s">
        <v>27</v>
      </c>
      <c r="P258" s="11" t="s">
        <v>28</v>
      </c>
      <c r="Q258" s="4"/>
    </row>
    <row r="259" spans="1:17" x14ac:dyDescent="0.2">
      <c r="A259">
        <v>25</v>
      </c>
      <c r="B259" t="s">
        <v>195</v>
      </c>
      <c r="C259" s="8" t="s">
        <v>17</v>
      </c>
      <c r="D259" s="8" t="s">
        <v>21</v>
      </c>
      <c r="I259" s="1">
        <v>14</v>
      </c>
      <c r="K259" s="3"/>
      <c r="L259" s="3"/>
      <c r="M259" s="10">
        <v>3587.41</v>
      </c>
      <c r="N259" s="9">
        <f>IFERROR(Table1[[#This Row],[Price '[€']]]/Table1[[#This Row],[Power '[kW']]],)</f>
        <v>256.24357142857144</v>
      </c>
      <c r="O259" s="1" t="s">
        <v>27</v>
      </c>
      <c r="P259" s="1" t="s">
        <v>28</v>
      </c>
      <c r="Q259" s="4"/>
    </row>
    <row r="260" spans="1:17" x14ac:dyDescent="0.2">
      <c r="A260">
        <v>25</v>
      </c>
      <c r="B260" t="s">
        <v>195</v>
      </c>
      <c r="C260" s="8" t="s">
        <v>17</v>
      </c>
      <c r="D260" s="8" t="s">
        <v>25</v>
      </c>
      <c r="K260" s="3"/>
      <c r="L260" s="3"/>
      <c r="M260" s="1"/>
      <c r="N260" s="9">
        <v>1070</v>
      </c>
      <c r="O260" s="1" t="s">
        <v>30</v>
      </c>
      <c r="P260" s="12" t="s">
        <v>31</v>
      </c>
      <c r="Q260" s="4"/>
    </row>
    <row r="261" spans="1:17" x14ac:dyDescent="0.2">
      <c r="A261">
        <v>25</v>
      </c>
      <c r="B261" t="s">
        <v>195</v>
      </c>
      <c r="C261" s="8" t="s">
        <v>17</v>
      </c>
      <c r="D261" s="1" t="s">
        <v>29</v>
      </c>
      <c r="I261" s="1">
        <v>4.2</v>
      </c>
      <c r="K261" s="3"/>
      <c r="L261" s="3"/>
      <c r="M261" s="1">
        <v>2420.14</v>
      </c>
      <c r="N261" s="9">
        <f>IFERROR(Table1[[#This Row],[Price '[€']]]/Table1[[#This Row],[Power '[kW']]],)</f>
        <v>576.22380952380945</v>
      </c>
      <c r="O261" s="1" t="s">
        <v>27</v>
      </c>
      <c r="P261" s="1" t="s">
        <v>28</v>
      </c>
      <c r="Q261" s="4"/>
    </row>
    <row r="262" spans="1:17" x14ac:dyDescent="0.2">
      <c r="A262">
        <v>26</v>
      </c>
      <c r="B262" t="s">
        <v>196</v>
      </c>
      <c r="C262" s="1" t="s">
        <v>197</v>
      </c>
      <c r="D262" s="8" t="s">
        <v>18</v>
      </c>
      <c r="E262" s="1" t="s">
        <v>67</v>
      </c>
      <c r="F262" s="1">
        <v>4</v>
      </c>
      <c r="G262" s="1">
        <v>3.4000000000000002E-2</v>
      </c>
      <c r="K262" s="1"/>
      <c r="L262" s="3">
        <v>73.55</v>
      </c>
      <c r="M262" s="3"/>
      <c r="N262" s="3">
        <f>IFERROR(Table1[[#This Row],[Price '[€']]]/Table1[[#This Row],[Power '[kW']]],)</f>
        <v>0</v>
      </c>
      <c r="O262" s="1" t="s">
        <v>198</v>
      </c>
      <c r="P262" s="13" t="s">
        <v>199</v>
      </c>
      <c r="Q262" s="4"/>
    </row>
    <row r="263" spans="1:17" x14ac:dyDescent="0.2">
      <c r="A263">
        <v>26</v>
      </c>
      <c r="B263" t="s">
        <v>196</v>
      </c>
      <c r="C263" s="1" t="s">
        <v>197</v>
      </c>
      <c r="D263" s="8" t="s">
        <v>20</v>
      </c>
      <c r="E263" s="8" t="s">
        <v>67</v>
      </c>
      <c r="F263" s="8">
        <v>2</v>
      </c>
      <c r="G263" s="8">
        <v>3.4000000000000002E-2</v>
      </c>
      <c r="H263" s="8"/>
      <c r="I263" s="8"/>
      <c r="J263" s="8"/>
      <c r="K263" s="8"/>
      <c r="L263" s="3">
        <v>2.95</v>
      </c>
      <c r="M263" s="3"/>
      <c r="N263" s="3">
        <f>IFERROR(Table1[[#This Row],[Price '[€']]]/Table1[[#This Row],[Power '[kW']]],)</f>
        <v>0</v>
      </c>
      <c r="O263" s="1" t="s">
        <v>200</v>
      </c>
      <c r="P263" s="13" t="s">
        <v>199</v>
      </c>
      <c r="Q263" s="4"/>
    </row>
    <row r="264" spans="1:17" x14ac:dyDescent="0.2">
      <c r="A264">
        <v>26</v>
      </c>
      <c r="B264" t="s">
        <v>196</v>
      </c>
      <c r="C264" s="1" t="s">
        <v>197</v>
      </c>
      <c r="D264" s="8" t="s">
        <v>18</v>
      </c>
      <c r="E264" s="8" t="s">
        <v>51</v>
      </c>
      <c r="F264" s="8">
        <v>4</v>
      </c>
      <c r="G264" s="8">
        <v>3.5999999999999997E-2</v>
      </c>
      <c r="H264" s="8"/>
      <c r="I264" s="8"/>
      <c r="J264" s="8"/>
      <c r="K264" s="8"/>
      <c r="L264" s="3">
        <v>78.650000000000006</v>
      </c>
      <c r="M264" s="3"/>
      <c r="N264" s="3">
        <f>IFERROR(Table1[[#This Row],[Price '[€']]]/Table1[[#This Row],[Power '[kW']]],)</f>
        <v>0</v>
      </c>
      <c r="O264" s="1" t="s">
        <v>201</v>
      </c>
      <c r="P264" s="13" t="s">
        <v>199</v>
      </c>
      <c r="Q264" s="4"/>
    </row>
    <row r="265" spans="1:17" x14ac:dyDescent="0.2">
      <c r="A265">
        <v>26</v>
      </c>
      <c r="B265" t="s">
        <v>196</v>
      </c>
      <c r="C265" s="1" t="s">
        <v>197</v>
      </c>
      <c r="D265" s="8" t="s">
        <v>20</v>
      </c>
      <c r="E265" s="8" t="s">
        <v>51</v>
      </c>
      <c r="F265" s="8">
        <v>2</v>
      </c>
      <c r="G265" s="8">
        <v>3.5999999999999997E-2</v>
      </c>
      <c r="H265" s="8"/>
      <c r="I265" s="8"/>
      <c r="J265" s="8"/>
      <c r="K265" s="8"/>
      <c r="L265" s="3">
        <v>3.95</v>
      </c>
      <c r="M265" s="3"/>
      <c r="N265" s="3">
        <f>IFERROR(Table1[[#This Row],[Price '[€']]]/Table1[[#This Row],[Power '[kW']]],)</f>
        <v>0</v>
      </c>
      <c r="O265" s="1" t="s">
        <v>201</v>
      </c>
      <c r="P265" s="13" t="s">
        <v>199</v>
      </c>
      <c r="Q265" s="4"/>
    </row>
    <row r="266" spans="1:17" x14ac:dyDescent="0.2">
      <c r="A266">
        <v>26</v>
      </c>
      <c r="B266" t="s">
        <v>196</v>
      </c>
      <c r="C266" s="1" t="s">
        <v>197</v>
      </c>
      <c r="D266" s="8" t="s">
        <v>22</v>
      </c>
      <c r="E266" s="8" t="s">
        <v>33</v>
      </c>
      <c r="F266" s="8">
        <v>4</v>
      </c>
      <c r="G266" s="8">
        <v>3.9E-2</v>
      </c>
      <c r="H266" s="8"/>
      <c r="I266" s="8"/>
      <c r="J266" s="8"/>
      <c r="K266" s="8"/>
      <c r="L266" s="3">
        <v>171.14</v>
      </c>
      <c r="M266" s="3"/>
      <c r="N266" s="3">
        <f>IFERROR(Table1[[#This Row],[Price '[€']]]/Table1[[#This Row],[Power '[kW']]],)</f>
        <v>0</v>
      </c>
      <c r="O266" s="1" t="s">
        <v>202</v>
      </c>
      <c r="P266" s="13" t="s">
        <v>199</v>
      </c>
      <c r="Q266" s="4"/>
    </row>
    <row r="267" spans="1:17" x14ac:dyDescent="0.2">
      <c r="A267">
        <v>26</v>
      </c>
      <c r="B267" t="s">
        <v>196</v>
      </c>
      <c r="C267" s="1" t="s">
        <v>197</v>
      </c>
      <c r="D267" s="8" t="s">
        <v>24</v>
      </c>
      <c r="E267" s="8" t="s">
        <v>67</v>
      </c>
      <c r="F267" s="8">
        <v>10</v>
      </c>
      <c r="G267" s="8">
        <v>2.9000000000000001E-2</v>
      </c>
      <c r="H267" s="8"/>
      <c r="I267" s="8"/>
      <c r="J267" s="8"/>
      <c r="K267" s="8"/>
      <c r="L267" s="3">
        <v>173.47</v>
      </c>
      <c r="M267" s="3"/>
      <c r="N267" s="3">
        <f>IFERROR(Table1[[#This Row],[Price '[€']]]/Table1[[#This Row],[Power '[kW']]],)</f>
        <v>0</v>
      </c>
      <c r="O267" s="1" t="s">
        <v>203</v>
      </c>
      <c r="P267" s="13" t="s">
        <v>199</v>
      </c>
      <c r="Q267" s="4"/>
    </row>
    <row r="268" spans="1:17" x14ac:dyDescent="0.2">
      <c r="A268">
        <v>26</v>
      </c>
      <c r="B268" t="s">
        <v>196</v>
      </c>
      <c r="C268" s="1" t="s">
        <v>197</v>
      </c>
      <c r="D268" s="8" t="s">
        <v>24</v>
      </c>
      <c r="E268" s="8" t="s">
        <v>51</v>
      </c>
      <c r="F268" s="8">
        <v>10</v>
      </c>
      <c r="G268" s="8">
        <v>3.4000000000000002E-2</v>
      </c>
      <c r="H268" s="8"/>
      <c r="I268" s="8"/>
      <c r="J268" s="8"/>
      <c r="K268" s="8"/>
      <c r="L268" s="3">
        <v>184.33</v>
      </c>
      <c r="M268" s="3"/>
      <c r="N268" s="3">
        <f>IFERROR(Table1[[#This Row],[Price '[€']]]/Table1[[#This Row],[Power '[kW']]],)</f>
        <v>0</v>
      </c>
      <c r="O268" s="1" t="s">
        <v>204</v>
      </c>
      <c r="P268" s="13" t="s">
        <v>199</v>
      </c>
      <c r="Q268" s="4"/>
    </row>
    <row r="269" spans="1:17" x14ac:dyDescent="0.2">
      <c r="A269">
        <v>26</v>
      </c>
      <c r="B269" t="s">
        <v>196</v>
      </c>
      <c r="C269" s="1" t="s">
        <v>197</v>
      </c>
      <c r="D269" s="8" t="s">
        <v>23</v>
      </c>
      <c r="E269" s="8" t="s">
        <v>33</v>
      </c>
      <c r="F269" s="8">
        <v>3</v>
      </c>
      <c r="G269" s="8">
        <v>3.5999999999999997E-2</v>
      </c>
      <c r="H269" s="8"/>
      <c r="I269" s="8"/>
      <c r="J269" s="8"/>
      <c r="K269" s="8"/>
      <c r="L269" s="3">
        <v>9.8699999999999992</v>
      </c>
      <c r="M269" s="3"/>
      <c r="N269" s="3">
        <f>IFERROR(Table1[[#This Row],[Price '[€']]]/Table1[[#This Row],[Power '[kW']]],)</f>
        <v>0</v>
      </c>
      <c r="O269" s="1" t="s">
        <v>205</v>
      </c>
      <c r="P269" s="13" t="s">
        <v>199</v>
      </c>
      <c r="Q269" s="4"/>
    </row>
    <row r="270" spans="1:17" x14ac:dyDescent="0.2">
      <c r="A270">
        <v>26</v>
      </c>
      <c r="B270" t="s">
        <v>196</v>
      </c>
      <c r="C270" s="1" t="s">
        <v>197</v>
      </c>
      <c r="D270" s="8" t="s">
        <v>23</v>
      </c>
      <c r="E270" s="8" t="s">
        <v>67</v>
      </c>
      <c r="F270" s="8">
        <v>4</v>
      </c>
      <c r="G270" s="8">
        <v>2.7E-2</v>
      </c>
      <c r="H270" s="8"/>
      <c r="I270" s="8"/>
      <c r="J270" s="8"/>
      <c r="K270" s="8"/>
      <c r="L270" s="3">
        <v>14.88</v>
      </c>
      <c r="M270" s="3"/>
      <c r="N270" s="3">
        <f>IFERROR(Table1[[#This Row],[Price '[€']]]/Table1[[#This Row],[Power '[kW']]],)</f>
        <v>0</v>
      </c>
      <c r="O270" s="1" t="s">
        <v>205</v>
      </c>
      <c r="P270" s="13" t="s">
        <v>199</v>
      </c>
      <c r="Q270" s="4"/>
    </row>
    <row r="271" spans="1:17" x14ac:dyDescent="0.2">
      <c r="A271">
        <v>26</v>
      </c>
      <c r="B271" t="s">
        <v>196</v>
      </c>
      <c r="C271" s="1" t="s">
        <v>197</v>
      </c>
      <c r="D271" s="8" t="s">
        <v>23</v>
      </c>
      <c r="E271" s="1" t="s">
        <v>51</v>
      </c>
      <c r="F271" s="8">
        <v>4</v>
      </c>
      <c r="G271" s="8">
        <v>3.4000000000000002E-2</v>
      </c>
      <c r="K271" s="1"/>
      <c r="L271" s="3">
        <v>13.12</v>
      </c>
      <c r="M271" s="3"/>
      <c r="N271" s="3">
        <f>IFERROR(Table1[[#This Row],[Price '[€']]]/Table1[[#This Row],[Power '[kW']]],)</f>
        <v>0</v>
      </c>
      <c r="O271" s="1" t="s">
        <v>205</v>
      </c>
      <c r="P271" s="13" t="s">
        <v>199</v>
      </c>
      <c r="Q271" s="4"/>
    </row>
    <row r="272" spans="1:17" x14ac:dyDescent="0.2">
      <c r="A272">
        <v>26</v>
      </c>
      <c r="B272" t="s">
        <v>196</v>
      </c>
      <c r="C272" s="1" t="s">
        <v>197</v>
      </c>
      <c r="D272" s="8" t="s">
        <v>26</v>
      </c>
      <c r="E272" s="1" t="s">
        <v>43</v>
      </c>
      <c r="F272" s="8"/>
      <c r="G272" s="8"/>
      <c r="H272" s="8">
        <v>1.3</v>
      </c>
      <c r="K272" s="1"/>
      <c r="L272" s="3">
        <v>349.94</v>
      </c>
      <c r="M272" s="3"/>
      <c r="N272" s="3">
        <f>IFERROR(Table1[[#This Row],[Price '[€']]]/Table1[[#This Row],[Power '[kW']]],)</f>
        <v>0</v>
      </c>
      <c r="O272" s="1" t="s">
        <v>205</v>
      </c>
      <c r="P272" s="13" t="s">
        <v>199</v>
      </c>
      <c r="Q272" s="4"/>
    </row>
    <row r="273" spans="1:17" x14ac:dyDescent="0.2">
      <c r="A273">
        <v>26</v>
      </c>
      <c r="B273" t="s">
        <v>196</v>
      </c>
      <c r="C273" s="1" t="s">
        <v>197</v>
      </c>
      <c r="D273" s="8" t="s">
        <v>26</v>
      </c>
      <c r="E273" s="1" t="s">
        <v>132</v>
      </c>
      <c r="F273" s="8"/>
      <c r="G273" s="8"/>
      <c r="H273" s="8"/>
      <c r="K273" s="1"/>
      <c r="L273" s="3">
        <v>318.73</v>
      </c>
      <c r="M273" s="3"/>
      <c r="N273" s="3">
        <f>IFERROR(Table1[[#This Row],[Price '[€']]]/Table1[[#This Row],[Power '[kW']]],)</f>
        <v>0</v>
      </c>
      <c r="O273" s="1" t="s">
        <v>205</v>
      </c>
      <c r="P273" s="13" t="s">
        <v>199</v>
      </c>
      <c r="Q273" s="4"/>
    </row>
    <row r="274" spans="1:17" x14ac:dyDescent="0.2">
      <c r="A274">
        <v>26</v>
      </c>
      <c r="B274" t="s">
        <v>196</v>
      </c>
      <c r="C274" s="1" t="s">
        <v>197</v>
      </c>
      <c r="D274" s="8" t="s">
        <v>26</v>
      </c>
      <c r="E274" s="1" t="s">
        <v>88</v>
      </c>
      <c r="H274" s="8">
        <v>1.1000000000000001</v>
      </c>
      <c r="K274" s="1"/>
      <c r="L274" s="3">
        <v>560.03</v>
      </c>
      <c r="M274" s="3"/>
      <c r="N274" s="3">
        <f>IFERROR(Table1[[#This Row],[Price '[€']]]/Table1[[#This Row],[Power '[kW']]],)</f>
        <v>0</v>
      </c>
      <c r="O274" s="1" t="s">
        <v>205</v>
      </c>
      <c r="P274" s="13" t="s">
        <v>199</v>
      </c>
      <c r="Q274" s="4"/>
    </row>
    <row r="275" spans="1:17" x14ac:dyDescent="0.2">
      <c r="A275">
        <v>26</v>
      </c>
      <c r="B275" t="s">
        <v>196</v>
      </c>
      <c r="C275" s="1" t="s">
        <v>197</v>
      </c>
      <c r="D275" s="8" t="s">
        <v>19</v>
      </c>
      <c r="H275" s="8"/>
      <c r="I275" s="1">
        <v>4</v>
      </c>
      <c r="K275" s="1"/>
      <c r="L275" s="3"/>
      <c r="M275" s="3">
        <v>4350</v>
      </c>
      <c r="N275" s="3">
        <f>IFERROR(Table1[[#This Row],[Price '[€']]]/Table1[[#This Row],[Power '[kW']]],)</f>
        <v>1087.5</v>
      </c>
      <c r="O275" s="1" t="s">
        <v>205</v>
      </c>
      <c r="P275" s="13" t="s">
        <v>199</v>
      </c>
      <c r="Q275" s="4"/>
    </row>
    <row r="276" spans="1:17" x14ac:dyDescent="0.2">
      <c r="A276">
        <v>26</v>
      </c>
      <c r="B276" t="s">
        <v>196</v>
      </c>
      <c r="C276" s="1" t="s">
        <v>197</v>
      </c>
      <c r="D276" s="8" t="s">
        <v>21</v>
      </c>
      <c r="I276" s="1">
        <v>20</v>
      </c>
      <c r="K276" s="1"/>
      <c r="L276" s="3"/>
      <c r="M276" s="3">
        <v>3375</v>
      </c>
      <c r="N276" s="3">
        <f>IFERROR(Table1[[#This Row],[Price '[€']]]/Table1[[#This Row],[Power '[kW']]],)</f>
        <v>168.75</v>
      </c>
      <c r="O276" s="1" t="s">
        <v>205</v>
      </c>
      <c r="P276" s="13" t="s">
        <v>199</v>
      </c>
      <c r="Q276" s="4"/>
    </row>
    <row r="277" spans="1:17" x14ac:dyDescent="0.2">
      <c r="A277">
        <v>26</v>
      </c>
      <c r="B277" t="s">
        <v>196</v>
      </c>
      <c r="C277" s="1" t="s">
        <v>197</v>
      </c>
      <c r="D277" s="8" t="s">
        <v>25</v>
      </c>
      <c r="I277" s="1">
        <v>4</v>
      </c>
      <c r="K277" s="1"/>
      <c r="L277" s="3"/>
      <c r="M277" s="3">
        <v>4450</v>
      </c>
      <c r="N277" s="3">
        <f>IFERROR(Table1[[#This Row],[Price '[€']]]/Table1[[#This Row],[Power '[kW']]],)</f>
        <v>1112.5</v>
      </c>
      <c r="O277" s="1" t="s">
        <v>205</v>
      </c>
      <c r="P277" s="13" t="s">
        <v>199</v>
      </c>
      <c r="Q277" s="4"/>
    </row>
    <row r="278" spans="1:17" x14ac:dyDescent="0.2">
      <c r="A278">
        <v>26</v>
      </c>
      <c r="B278" t="s">
        <v>196</v>
      </c>
      <c r="C278" s="1" t="s">
        <v>197</v>
      </c>
      <c r="D278" s="8" t="s">
        <v>29</v>
      </c>
      <c r="I278" s="1">
        <v>4.2</v>
      </c>
      <c r="K278" s="1"/>
      <c r="L278" s="1"/>
      <c r="M278" s="3">
        <v>2379.6999999999998</v>
      </c>
      <c r="N278" s="3">
        <f>IFERROR(Table1[[#This Row],[Price '[€']]]/Table1[[#This Row],[Power '[kW']]],)</f>
        <v>566.59523809523807</v>
      </c>
      <c r="O278" s="1" t="s">
        <v>27</v>
      </c>
      <c r="P278" s="1" t="s">
        <v>28</v>
      </c>
      <c r="Q278" s="4"/>
    </row>
    <row r="279" spans="1:17" x14ac:dyDescent="0.2">
      <c r="A279">
        <v>27</v>
      </c>
      <c r="B279" t="s">
        <v>206</v>
      </c>
      <c r="C279" s="8" t="s">
        <v>17</v>
      </c>
      <c r="D279" s="8" t="s">
        <v>18</v>
      </c>
      <c r="F279" s="1">
        <v>16</v>
      </c>
      <c r="G279" s="1">
        <v>3.7999999999999999E-2</v>
      </c>
      <c r="K279" s="3"/>
      <c r="L279" s="3">
        <v>201.51</v>
      </c>
      <c r="M279" s="1"/>
      <c r="N279" s="9">
        <f>IFERROR(Table1[[#This Row],[Price '[€']]]/Table1[[#This Row],[Power '[kW']]],)</f>
        <v>0</v>
      </c>
      <c r="O279" s="1" t="s">
        <v>209</v>
      </c>
      <c r="Q279" s="4"/>
    </row>
    <row r="280" spans="1:17" x14ac:dyDescent="0.2">
      <c r="A280">
        <v>27</v>
      </c>
      <c r="B280" t="s">
        <v>206</v>
      </c>
      <c r="C280" s="8" t="s">
        <v>17</v>
      </c>
      <c r="D280" s="8" t="s">
        <v>20</v>
      </c>
      <c r="F280" s="1">
        <v>2</v>
      </c>
      <c r="G280" s="1">
        <v>3.7999999999999999E-2</v>
      </c>
      <c r="K280" s="3"/>
      <c r="L280" s="3">
        <v>4.97</v>
      </c>
      <c r="M280" s="1"/>
      <c r="N280" s="9">
        <f>IFERROR(Table1[[#This Row],[Price '[€']]]/Table1[[#This Row],[Power '[kW']]],)</f>
        <v>0</v>
      </c>
      <c r="O280" s="1" t="s">
        <v>209</v>
      </c>
      <c r="Q280" s="4"/>
    </row>
    <row r="281" spans="1:17" x14ac:dyDescent="0.2">
      <c r="A281">
        <v>27</v>
      </c>
      <c r="B281" t="s">
        <v>206</v>
      </c>
      <c r="C281" s="8" t="s">
        <v>17</v>
      </c>
      <c r="D281" s="8" t="s">
        <v>22</v>
      </c>
      <c r="F281" s="1">
        <v>20</v>
      </c>
      <c r="G281" s="1">
        <v>3.7999999999999999E-2</v>
      </c>
      <c r="K281" s="3"/>
      <c r="L281" s="3">
        <v>362.95</v>
      </c>
      <c r="M281" s="1"/>
      <c r="N281" s="9">
        <f>IFERROR(Table1[[#This Row],[Price '[€']]]/Table1[[#This Row],[Power '[kW']]],)</f>
        <v>0</v>
      </c>
      <c r="O281" s="1" t="s">
        <v>209</v>
      </c>
      <c r="Q281" s="4"/>
    </row>
    <row r="282" spans="1:17" x14ac:dyDescent="0.2">
      <c r="A282">
        <v>27</v>
      </c>
      <c r="B282" t="s">
        <v>206</v>
      </c>
      <c r="C282" s="8" t="s">
        <v>17</v>
      </c>
      <c r="D282" s="8" t="s">
        <v>24</v>
      </c>
      <c r="F282" s="1">
        <v>20</v>
      </c>
      <c r="G282" s="1">
        <v>3.7999999999999999E-2</v>
      </c>
      <c r="K282" s="3"/>
      <c r="L282" s="3">
        <v>311.17</v>
      </c>
      <c r="M282" s="1"/>
      <c r="N282" s="9">
        <f>IFERROR(Table1[[#This Row],[Price '[€']]]/Table1[[#This Row],[Power '[kW']]],)</f>
        <v>0</v>
      </c>
      <c r="O282" s="1" t="s">
        <v>209</v>
      </c>
      <c r="Q282" s="4"/>
    </row>
    <row r="283" spans="1:17" x14ac:dyDescent="0.2">
      <c r="A283">
        <v>27</v>
      </c>
      <c r="B283" t="s">
        <v>206</v>
      </c>
      <c r="C283" s="8" t="s">
        <v>17</v>
      </c>
      <c r="D283" s="8" t="s">
        <v>23</v>
      </c>
      <c r="F283" s="1">
        <v>10</v>
      </c>
      <c r="G283" s="1">
        <v>3.7999999999999999E-2</v>
      </c>
      <c r="K283" s="3"/>
      <c r="L283" s="3">
        <v>90.49</v>
      </c>
      <c r="M283" s="1"/>
      <c r="N283" s="9">
        <f>IFERROR(Table1[[#This Row],[Price '[€']]]/Table1[[#This Row],[Power '[kW']]],)</f>
        <v>0</v>
      </c>
      <c r="O283" s="1" t="s">
        <v>209</v>
      </c>
      <c r="Q283" s="4"/>
    </row>
    <row r="284" spans="1:17" x14ac:dyDescent="0.2">
      <c r="A284">
        <v>27</v>
      </c>
      <c r="B284" t="s">
        <v>206</v>
      </c>
      <c r="C284" s="8" t="s">
        <v>17</v>
      </c>
      <c r="D284" s="8" t="s">
        <v>26</v>
      </c>
      <c r="G284" s="1">
        <v>1.1000000000000001</v>
      </c>
      <c r="K284" s="3"/>
      <c r="L284" s="3">
        <v>719.18</v>
      </c>
      <c r="M284" s="1"/>
      <c r="N284" s="9">
        <f>IFERROR(Table1[[#This Row],[Price '[€']]]/Table1[[#This Row],[Power '[kW']]],)</f>
        <v>0</v>
      </c>
      <c r="O284" s="1" t="s">
        <v>209</v>
      </c>
      <c r="Q284" s="4"/>
    </row>
    <row r="285" spans="1:17" x14ac:dyDescent="0.2">
      <c r="A285">
        <v>27</v>
      </c>
      <c r="B285" t="s">
        <v>206</v>
      </c>
      <c r="C285" s="8" t="s">
        <v>17</v>
      </c>
      <c r="D285" s="8" t="s">
        <v>19</v>
      </c>
      <c r="I285" s="1">
        <v>7</v>
      </c>
      <c r="K285" s="3"/>
      <c r="L285" s="3"/>
      <c r="M285" s="10">
        <v>11943.37</v>
      </c>
      <c r="N285" s="9">
        <f>IFERROR(Table1[[#This Row],[Price '[€']]]/Table1[[#This Row],[Power '[kW']]],)</f>
        <v>1706.1957142857143</v>
      </c>
      <c r="O285" s="1" t="s">
        <v>27</v>
      </c>
      <c r="P285" s="11" t="s">
        <v>28</v>
      </c>
      <c r="Q285" s="4"/>
    </row>
    <row r="286" spans="1:17" x14ac:dyDescent="0.2">
      <c r="A286">
        <v>27</v>
      </c>
      <c r="B286" t="s">
        <v>206</v>
      </c>
      <c r="C286" s="8" t="s">
        <v>17</v>
      </c>
      <c r="D286" s="8" t="s">
        <v>21</v>
      </c>
      <c r="I286" s="1">
        <v>14</v>
      </c>
      <c r="K286" s="3"/>
      <c r="L286" s="3"/>
      <c r="M286" s="10">
        <v>4038.3</v>
      </c>
      <c r="N286" s="9">
        <f>IFERROR(Table1[[#This Row],[Price '[€']]]/Table1[[#This Row],[Power '[kW']]],)</f>
        <v>288.45</v>
      </c>
      <c r="O286" s="1" t="s">
        <v>27</v>
      </c>
      <c r="P286" s="1" t="s">
        <v>28</v>
      </c>
      <c r="Q286" s="4"/>
    </row>
    <row r="287" spans="1:17" x14ac:dyDescent="0.2">
      <c r="A287">
        <v>27</v>
      </c>
      <c r="B287" t="s">
        <v>206</v>
      </c>
      <c r="C287" s="8" t="s">
        <v>17</v>
      </c>
      <c r="D287" s="8" t="s">
        <v>25</v>
      </c>
      <c r="K287" s="3"/>
      <c r="L287" s="3"/>
      <c r="M287" s="1"/>
      <c r="N287" s="9">
        <v>1210</v>
      </c>
      <c r="O287" s="1" t="s">
        <v>30</v>
      </c>
      <c r="P287" s="12" t="s">
        <v>31</v>
      </c>
      <c r="Q287" s="4"/>
    </row>
    <row r="288" spans="1:17" x14ac:dyDescent="0.2">
      <c r="A288">
        <v>27</v>
      </c>
      <c r="B288" t="s">
        <v>206</v>
      </c>
      <c r="C288" s="8" t="s">
        <v>17</v>
      </c>
      <c r="D288" s="1" t="s">
        <v>29</v>
      </c>
      <c r="I288" s="1">
        <v>4.2</v>
      </c>
      <c r="K288" s="3"/>
      <c r="L288" s="3"/>
      <c r="M288" s="1">
        <v>2821.94</v>
      </c>
      <c r="N288" s="9">
        <f>IFERROR(Table1[[#This Row],[Price '[€']]]/Table1[[#This Row],[Power '[kW']]],)</f>
        <v>671.89047619047619</v>
      </c>
      <c r="O288" s="1" t="s">
        <v>27</v>
      </c>
      <c r="P288" s="1" t="s">
        <v>28</v>
      </c>
    </row>
    <row r="289" spans="11:16" x14ac:dyDescent="0.2">
      <c r="K289" s="3"/>
      <c r="L289" s="3"/>
    </row>
    <row r="290" spans="11:16" x14ac:dyDescent="0.2">
      <c r="K290" s="3"/>
      <c r="L290" s="3"/>
    </row>
    <row r="299" spans="11:16" x14ac:dyDescent="0.2">
      <c r="O299"/>
      <c r="P299" s="5"/>
    </row>
    <row r="300" spans="11:16" x14ac:dyDescent="0.2">
      <c r="O300"/>
      <c r="P300" s="5"/>
    </row>
    <row r="301" spans="11:16" x14ac:dyDescent="0.2">
      <c r="O301"/>
      <c r="P301" s="5"/>
    </row>
    <row r="302" spans="11:16" x14ac:dyDescent="0.2">
      <c r="O302"/>
      <c r="P302" s="5"/>
    </row>
    <row r="303" spans="11:16" x14ac:dyDescent="0.2">
      <c r="O303"/>
      <c r="P303" s="5"/>
    </row>
    <row r="304" spans="11:16" x14ac:dyDescent="0.2">
      <c r="O304"/>
      <c r="P304" s="5"/>
    </row>
    <row r="305" spans="15:16" x14ac:dyDescent="0.2">
      <c r="O305"/>
      <c r="P305" s="5"/>
    </row>
    <row r="306" spans="15:16" x14ac:dyDescent="0.2">
      <c r="O306"/>
      <c r="P306" s="5"/>
    </row>
    <row r="307" spans="15:16" x14ac:dyDescent="0.2">
      <c r="O307"/>
      <c r="P307" s="5"/>
    </row>
    <row r="308" spans="15:16" x14ac:dyDescent="0.2">
      <c r="O308"/>
      <c r="P308" s="5"/>
    </row>
    <row r="309" spans="15:16" x14ac:dyDescent="0.2">
      <c r="O309"/>
      <c r="P309" s="5"/>
    </row>
    <row r="310" spans="15:16" x14ac:dyDescent="0.2">
      <c r="O310"/>
      <c r="P310" s="5"/>
    </row>
    <row r="311" spans="15:16" x14ac:dyDescent="0.2">
      <c r="O311"/>
      <c r="P311" s="5"/>
    </row>
    <row r="312" spans="15:16" x14ac:dyDescent="0.2">
      <c r="O312"/>
      <c r="P312" s="5"/>
    </row>
    <row r="313" spans="15:16" x14ac:dyDescent="0.2">
      <c r="O313"/>
      <c r="P313" s="5"/>
    </row>
    <row r="314" spans="15:16" x14ac:dyDescent="0.2">
      <c r="O314"/>
      <c r="P314" s="5"/>
    </row>
    <row r="315" spans="15:16" x14ac:dyDescent="0.2">
      <c r="O315"/>
      <c r="P315" s="5"/>
    </row>
    <row r="316" spans="15:16" x14ac:dyDescent="0.2">
      <c r="O316"/>
      <c r="P316" s="5"/>
    </row>
    <row r="317" spans="15:16" x14ac:dyDescent="0.2">
      <c r="O317"/>
      <c r="P317" s="5"/>
    </row>
    <row r="318" spans="15:16" x14ac:dyDescent="0.2">
      <c r="O318"/>
      <c r="P318" s="5"/>
    </row>
    <row r="319" spans="15:16" x14ac:dyDescent="0.2">
      <c r="O319"/>
      <c r="P319" s="5"/>
    </row>
    <row r="320" spans="15:16" x14ac:dyDescent="0.2">
      <c r="O320"/>
      <c r="P320" s="5"/>
    </row>
    <row r="321" spans="15:16" x14ac:dyDescent="0.2">
      <c r="O321"/>
      <c r="P321" s="5"/>
    </row>
    <row r="322" spans="15:16" x14ac:dyDescent="0.2">
      <c r="O322"/>
      <c r="P322" s="5"/>
    </row>
    <row r="323" spans="15:16" x14ac:dyDescent="0.2">
      <c r="O323"/>
      <c r="P323" s="5"/>
    </row>
    <row r="324" spans="15:16" x14ac:dyDescent="0.2">
      <c r="O324"/>
      <c r="P324" s="5"/>
    </row>
    <row r="325" spans="15:16" x14ac:dyDescent="0.2">
      <c r="O325"/>
      <c r="P325" s="5"/>
    </row>
  </sheetData>
  <sortState xmlns:xlrd2="http://schemas.microsoft.com/office/spreadsheetml/2017/richdata2" ref="O299:P325">
    <sortCondition ref="O299:O325"/>
  </sortState>
  <phoneticPr fontId="1" type="noConversion"/>
  <conditionalFormatting sqref="A10:O10 A11:P19 A20:O20 A30:O30 A31:P42 A43:O43 A53:O53 C65:O65 A65:A66 C66:P66 A67:P74 A75:O75 A76:P84 A85:O85 A86:P94 A95:O95 A96:P104 A105:O105 A106:P114 A115:N115 A116:P125 A126:O126 A136:O136 A146:O146 A147:P167 A168:O168 A169:P177 A178:O178 A188:O188 A198:O198 A199:P209 A210:O210 A211:P221 P222:P227 A228:P229 A230:O230 A240:O240 A241:P251 P252:P257 A258:P259 A260:O260 A261:P278 P279:P284 A285:P286 A287:O287 A288:P291 A292:L300 N292:P300 A2:P9 A252:N257 A231:P239 A21:P29 A44:P52 A54:P64 A127:P135 A137:P145 A179:P187 A189:P197 A222:N227 A279:N284">
    <cfRule type="expression" dxfId="0" priority="4">
      <formula>$A2&lt;$A3</formula>
    </cfRule>
  </conditionalFormatting>
  <conditionalFormatting sqref="O222:O227">
    <cfRule type="expression" dxfId="4" priority="1">
      <formula>$A221&lt;$A222</formula>
    </cfRule>
  </conditionalFormatting>
  <conditionalFormatting sqref="O252:O257">
    <cfRule type="expression" dxfId="3" priority="6">
      <formula>$A251&lt;$A252</formula>
    </cfRule>
  </conditionalFormatting>
  <conditionalFormatting sqref="O279:O284">
    <cfRule type="expression" dxfId="2" priority="2">
      <formula>$A278&lt;$A279</formula>
    </cfRule>
  </conditionalFormatting>
  <conditionalFormatting sqref="O115:P115">
    <cfRule type="expression" dxfId="1" priority="3">
      <formula>$A115&lt;$A116</formula>
    </cfRule>
  </conditionalFormatting>
  <hyperlinks>
    <hyperlink ref="P77" r:id="rId1" xr:uid="{FA5AA7F6-0D01-47AD-99D9-38B6A1EF0AA6}"/>
    <hyperlink ref="P78" r:id="rId2" xr:uid="{27FE61AB-604E-4BC7-970E-9F92796EECBA}"/>
    <hyperlink ref="P97" r:id="rId3" xr:uid="{DFB921C9-E746-754F-B42F-41D73F0C95B4}"/>
    <hyperlink ref="P101" r:id="rId4" xr:uid="{CC5E5C34-7142-2046-BC13-95C998D89BDF}"/>
    <hyperlink ref="P102" r:id="rId5" xr:uid="{241534B3-B1D5-A34D-B6B1-4C8C00EF4CBC}"/>
    <hyperlink ref="P103" r:id="rId6" location="page=33.44" xr:uid="{DFCEC774-FE66-454E-891B-30689DDA3F15}"/>
    <hyperlink ref="P99" r:id="rId7" xr:uid="{6E1B2D92-FA1F-F841-8D49-67A2874E0BF0}"/>
    <hyperlink ref="P67" r:id="rId8" xr:uid="{DCB85AD6-6343-8845-A806-738FA3272937}"/>
    <hyperlink ref="P69" r:id="rId9" xr:uid="{39B391DE-1DAE-DA4A-AA5D-5EEC261D7356}"/>
    <hyperlink ref="P73" r:id="rId10" xr:uid="{0BF405FE-B266-F541-9811-7FD9C33E48A1}"/>
    <hyperlink ref="P72" r:id="rId11" xr:uid="{587274C9-42C0-BA41-96FB-44FDCE3D21A5}"/>
    <hyperlink ref="P71" r:id="rId12" location="f1p2" xr:uid="{B5E4452E-60E3-2040-BD6B-A4EA678986ED}"/>
    <hyperlink ref="P74" r:id="rId13" xr:uid="{1D1051AB-FF4F-8045-AD0D-4D8F1FD66320}"/>
    <hyperlink ref="P117" r:id="rId14" xr:uid="{4A9A09FA-BFF0-E14B-96CA-FB2CF5DEB153}"/>
    <hyperlink ref="P119" r:id="rId15" xr:uid="{27720618-B5A8-724D-A53F-FD1E0D1832B0}"/>
    <hyperlink ref="P120" r:id="rId16" xr:uid="{39E30E4D-3222-5844-90A1-96608DC6EFF4}"/>
    <hyperlink ref="P121" r:id="rId17" xr:uid="{7DA44500-CE49-F941-8618-4DE0AB427573}"/>
    <hyperlink ref="P122" r:id="rId18" xr:uid="{F149CF2D-38F2-7E40-A505-0CC91BA7FBA0}"/>
    <hyperlink ref="P124" r:id="rId19" xr:uid="{BC4825C2-218A-384D-BE72-92AF2867A4B7}"/>
    <hyperlink ref="P125" r:id="rId20" xr:uid="{550AB539-3D6D-7441-9494-677CF498B1C3}"/>
    <hyperlink ref="P127" r:id="rId21" xr:uid="{408F1389-393F-224F-B86E-5251DC2E3EFD}"/>
    <hyperlink ref="P149" r:id="rId22" xr:uid="{6BD4A65E-B9B2-4147-9629-0676FB543D5D}"/>
    <hyperlink ref="P148" r:id="rId23" xr:uid="{15906AD4-8C59-2847-BB2F-ADC601FC75D0}"/>
    <hyperlink ref="P150" r:id="rId24" xr:uid="{6A8B35B3-90B6-1D44-94E6-9339A5BF9D18}"/>
    <hyperlink ref="P151" r:id="rId25" xr:uid="{E006B4C8-8A2F-A647-8638-758B19752D6F}"/>
    <hyperlink ref="P152" r:id="rId26" xr:uid="{C9D20377-A309-5248-9C92-EB0930461F20}"/>
    <hyperlink ref="P153" r:id="rId27" xr:uid="{4B3806FB-E8D9-814A-9F05-8BE18A86C121}"/>
    <hyperlink ref="P156" r:id="rId28" xr:uid="{FD4B97FA-C407-0642-9693-67BEFEC85ECD}"/>
    <hyperlink ref="P157" r:id="rId29" xr:uid="{0694882E-630A-514C-8E75-06FF6A32557E}"/>
    <hyperlink ref="P158" r:id="rId30" xr:uid="{86BA4002-403D-E748-BBDB-F14FCF163E1E}"/>
    <hyperlink ref="P159" r:id="rId31" xr:uid="{E43A708A-7170-9145-8C6F-0E2A3A8BC47D}"/>
    <hyperlink ref="P200" r:id="rId32" xr:uid="{2E60B979-53EA-4D46-84AF-F593ABA413B4}"/>
    <hyperlink ref="P202" r:id="rId33" xr:uid="{60F73D96-6D1F-E84A-8F32-2442BE5FECB5}"/>
    <hyperlink ref="P203" r:id="rId34" xr:uid="{50A61D0C-A42D-D64A-8A6F-C3C454809102}"/>
    <hyperlink ref="P207" r:id="rId35" xr:uid="{75C40D54-35C4-7540-9916-74B363B273BA}"/>
    <hyperlink ref="P208" r:id="rId36" xr:uid="{91576E58-199E-E642-BB99-3B685061EF11}"/>
    <hyperlink ref="P209" r:id="rId37" xr:uid="{772E9A2E-8A26-CD41-ABB3-4EB05C3C526D}"/>
    <hyperlink ref="P212" r:id="rId38" location="source=nces&amp;medium=coll " xr:uid="{218A5047-CEB0-0445-9B17-A973F1EE5D91}"/>
    <hyperlink ref="P214" r:id="rId39" xr:uid="{9668F37B-AA5E-8446-9FC9-7944F38AE434}"/>
    <hyperlink ref="P216" r:id="rId40" location="link5" xr:uid="{293D6BE3-8E94-E34B-9AE7-CD80645A6840}"/>
    <hyperlink ref="P217" r:id="rId41" xr:uid="{D53776DD-E9DD-C043-83A3-D2A58418CF23}"/>
    <hyperlink ref="P218" r:id="rId42" xr:uid="{70FA8373-304A-C34D-900E-629DFD1D1E5A}"/>
    <hyperlink ref="P219" r:id="rId43" xr:uid="{E6D3A93A-507E-BA46-819D-553EA9E4A78B}"/>
    <hyperlink ref="P220" r:id="rId44" xr:uid="{F10D5E3A-8473-3047-A223-6C4234BD9C5A}"/>
    <hyperlink ref="P242" r:id="rId45" xr:uid="{FD5941BA-E6AC-8145-A372-7B88022BA07E}"/>
    <hyperlink ref="P243" r:id="rId46" xr:uid="{66213C46-3B60-2141-AAEC-CADFCF92DB77}"/>
    <hyperlink ref="P244" r:id="rId47" xr:uid="{D71D0A57-EC4F-F348-973A-CF2CC4FD0C6F}"/>
    <hyperlink ref="P246" r:id="rId48" xr:uid="{41B80F96-C2EB-1C42-9464-A8C366A4DD19}"/>
    <hyperlink ref="P247" r:id="rId49" xr:uid="{DFA14548-3FED-EC4C-B94D-AFF3091551C3}"/>
    <hyperlink ref="P248" r:id="rId50" xr:uid="{34DB7CFF-D53D-6F4A-AD86-4A2EABBA60E1}"/>
    <hyperlink ref="P249" r:id="rId51" xr:uid="{CA802CEC-21EE-F24A-8FCE-8761BF6DACF6}"/>
    <hyperlink ref="P250" r:id="rId52" xr:uid="{11622B81-0275-6A4F-B549-F03E1DFD2FA1}"/>
    <hyperlink ref="P205" r:id="rId53" xr:uid="{E74105A7-399D-D24F-B5E6-138A202CF606}"/>
    <hyperlink ref="P206" r:id="rId54" xr:uid="{AB9E6346-5D5A-9D44-B450-3A4B4F04B779}"/>
    <hyperlink ref="P154" r:id="rId55" xr:uid="{B3DDA0CB-2520-FD48-B202-3DEF5F5AFD48}"/>
    <hyperlink ref="P155" r:id="rId56" xr:uid="{6007C015-6B99-9B42-AC4B-EF138F8BDDA0}"/>
    <hyperlink ref="P262" r:id="rId57" xr:uid="{B33142ED-A466-B340-98FB-07CCD06CC59D}"/>
    <hyperlink ref="P263" r:id="rId58" xr:uid="{D146448F-1BC6-D142-A334-2CB54C2CD9D8}"/>
    <hyperlink ref="P264" r:id="rId59" xr:uid="{034E7CBC-B21D-9F43-B936-B4D821762E97}"/>
    <hyperlink ref="P265" r:id="rId60" xr:uid="{F38A6856-07C3-FB43-B38C-488EFD9C16B5}"/>
    <hyperlink ref="P266" r:id="rId61" xr:uid="{F56A4E52-FFCD-FC4E-A0A7-E57D8944495A}"/>
    <hyperlink ref="P269" r:id="rId62" xr:uid="{6E6C0D30-E9E5-DE4A-8390-217546FF10F8}"/>
    <hyperlink ref="P270" r:id="rId63" xr:uid="{7A47AC1C-15D0-184D-9111-CC872E281024}"/>
    <hyperlink ref="P271" r:id="rId64" xr:uid="{645B17C9-85DC-BA43-855E-730214E3791B}"/>
    <hyperlink ref="P268" r:id="rId65" xr:uid="{AEA936A9-71ED-4849-A212-4EE43AC7F356}"/>
    <hyperlink ref="P267" r:id="rId66" xr:uid="{48F5EF7D-65C6-AC4B-AF82-3E56909DC69D}"/>
    <hyperlink ref="P272" r:id="rId67" xr:uid="{E002145F-8E15-0A48-BD2D-ADDA7C9204F8}"/>
    <hyperlink ref="P273" r:id="rId68" xr:uid="{6B2E73EB-99C7-3045-8E76-35442FCDC711}"/>
    <hyperlink ref="P274" r:id="rId69" xr:uid="{AE1D1100-9970-9B46-9FFD-0EA6B3818925}"/>
    <hyperlink ref="P275" r:id="rId70" xr:uid="{36447783-9C00-9041-84CA-E4D8563527FE}"/>
    <hyperlink ref="P276" r:id="rId71" xr:uid="{1A408AC6-70A4-024A-96F9-7D4834B6A38B}"/>
    <hyperlink ref="P277" r:id="rId72" xr:uid="{9F2AFEFA-AC8F-8A47-9141-FFBCDB79C109}"/>
    <hyperlink ref="P24" r:id="rId73" xr:uid="{0D81E4EA-958A-3247-82C7-0E5CE5E59AF6}"/>
    <hyperlink ref="P160" r:id="rId74" xr:uid="{4EB3A570-404F-E246-A59A-DBE8747D3378}"/>
    <hyperlink ref="P161" r:id="rId75" xr:uid="{D8C75D9D-7E27-B64C-BA31-BFCABE139AD5}"/>
    <hyperlink ref="P164" r:id="rId76" xr:uid="{990F77BB-3930-CD49-AFB5-6088E87B6F11}"/>
    <hyperlink ref="P162" r:id="rId77" xr:uid="{FDDC06E4-FE27-6D4F-A705-DA859CE74EB2}"/>
    <hyperlink ref="P90" r:id="rId78" xr:uid="{78E4DA38-8300-4B4E-9D15-28C57D6ED969}"/>
    <hyperlink ref="P91" r:id="rId79" location="kuinka-paljon-mokin-lattian-eristaminen-maksaa" xr:uid="{768590C2-1C49-DE43-8728-6101BB75F7BE}"/>
    <hyperlink ref="P92" r:id="rId80" xr:uid="{E0BBD35E-AE6D-AD42-AAE7-2F0CA94A20DD}"/>
    <hyperlink ref="P93" r:id="rId81" xr:uid="{178D7621-ED1E-F346-B478-3975704718EC}"/>
    <hyperlink ref="P232" r:id="rId82" xr:uid="{4DE6201A-C9B2-41CC-9000-F95F3643DD68}"/>
    <hyperlink ref="P233" r:id="rId83" xr:uid="{7AD42ADA-AF31-42BB-842A-5AAAE7B8EFEC}"/>
    <hyperlink ref="P237" r:id="rId84" xr:uid="{E60723A4-E33D-4CDD-8DFA-2EC5917A2116}"/>
    <hyperlink ref="P14" r:id="rId85" xr:uid="{94785757-4152-EF40-BF5B-7994B78DA7E9}"/>
    <hyperlink ref="P12" r:id="rId86" xr:uid="{6BD09F58-2FBA-564F-8D51-372880DD054B}"/>
    <hyperlink ref="P13" r:id="rId87" xr:uid="{A5D34CEB-4ED3-3A46-B294-789642D4931B}"/>
    <hyperlink ref="P15" r:id="rId88" xr:uid="{E98F359E-5F85-4640-B08F-6208CE883764}"/>
    <hyperlink ref="P16" r:id="rId89" xr:uid="{63D03372-1545-2044-8153-5AB8C56D904F}"/>
    <hyperlink ref="P18" r:id="rId90" xr:uid="{91FDBB6B-63F3-9042-B64C-D90E846BBEB4}"/>
    <hyperlink ref="P87" r:id="rId91" xr:uid="{3B3240D1-569D-904D-BB0D-3977DAAD88D9}"/>
    <hyperlink ref="P107" r:id="rId92" xr:uid="{2ED20C59-3377-4C9C-B9E9-649A7B942CF0}"/>
    <hyperlink ref="P108" r:id="rId93" xr:uid="{32003587-3572-41DB-9A88-70317D6272D8}"/>
    <hyperlink ref="P109" r:id="rId94" xr:uid="{2D69A3F9-C867-49AF-9FB6-61CAB47E8B02}"/>
    <hyperlink ref="P110" r:id="rId95" xr:uid="{818A1131-3581-43EC-B09B-9C9EC969F4D9}"/>
    <hyperlink ref="P111" r:id="rId96" xr:uid="{1740FB64-4041-4C0B-AFDC-0EB25E3B964F}"/>
    <hyperlink ref="P112" r:id="rId97" xr:uid="{29B5D2AE-3B48-4E78-A962-E2A74D4B0CA2}"/>
    <hyperlink ref="P113" r:id="rId98" xr:uid="{ED9347A3-B81E-4C6C-96C7-33C192F05427}"/>
    <hyperlink ref="P114" r:id="rId99" xr:uid="{A83DC9FD-341F-4C90-8C0F-B4AF30FF43DC}"/>
    <hyperlink ref="P116" r:id="rId100" xr:uid="{654480F3-F2F7-4E18-ADEE-6CF0E4F0455E}"/>
    <hyperlink ref="P138" r:id="rId101" xr:uid="{EA80D2F3-F274-1541-AA65-27791DF8AE7F}"/>
    <hyperlink ref="P140" r:id="rId102" xr:uid="{4543734C-736D-2340-A634-DCEC6404C9CB}"/>
    <hyperlink ref="P141" r:id="rId103" xr:uid="{50CD7128-F81D-0B48-9B66-E72B0BDFD0E8}"/>
    <hyperlink ref="P142" r:id="rId104" xr:uid="{8AE59DC0-8A5A-9642-AE3C-9480F49CF7B9}"/>
    <hyperlink ref="P143" r:id="rId105" location=":~:text=Table_title:%20How%20much%20do%20replacement%20windows%20cost?,per%20window:%20Average%20cost%20per%20window%20%7C" xr:uid="{16079DB6-C092-DB47-ABFA-96D00DD22145}"/>
    <hyperlink ref="P145" r:id="rId106" display="https://dublin-gasboilers.ie/gas-boiler-replacement-dublin/" xr:uid="{567127DD-BCAE-324F-A763-D882CCF84F82}"/>
    <hyperlink ref="P10" r:id="rId107" location="page=7.07" display="https://www.infobuildenergia.it/wp-content/uploads/2023/09/20250930_Report_EU_Solar_Jobs_Report_2025_Lits_ff3059f845.pdf?utm_source=chatgpt.com - page=7.07" xr:uid="{D08316EE-1E5F-4428-A0DA-AD9454DF0D08}"/>
    <hyperlink ref="P20" r:id="rId108" location="page=7.07" display="https://www.infobuildenergia.it/wp-content/uploads/2023/09/20250930_Report_EU_Solar_Jobs_Report_2025_Lits_ff3059f845.pdf?utm_source=chatgpt.com - page=7.07" xr:uid="{C5149078-2845-43F9-9E01-2C7D80BBEDDD}"/>
    <hyperlink ref="P30" r:id="rId109" location="page=7.07" display="https://www.infobuildenergia.it/wp-content/uploads/2023/09/20250930_Report_EU_Solar_Jobs_Report_2025_Lits_ff3059f845.pdf?utm_source=chatgpt.com - page=7.07" xr:uid="{2134EA25-2BBA-413F-95B6-907B8F2F8700}"/>
    <hyperlink ref="P43" r:id="rId110" location="page=7.07" display="https://www.infobuildenergia.it/wp-content/uploads/2023/09/20250930_Report_EU_Solar_Jobs_Report_2025_Lits_ff3059f845.pdf?utm_source=chatgpt.com - page=7.07" xr:uid="{B8F291D9-4BC3-44C4-9E48-18F0D640A04F}"/>
    <hyperlink ref="P53" r:id="rId111" location="page=7.07" display="https://www.infobuildenergia.it/wp-content/uploads/2023/09/20250930_Report_EU_Solar_Jobs_Report_2025_Lits_ff3059f845.pdf?utm_source=chatgpt.com - page=7.07" xr:uid="{32A4F076-4961-48CF-9F3A-A7A5A199FEBF}"/>
    <hyperlink ref="P65" r:id="rId112" location="page=7.07" display="https://www.infobuildenergia.it/wp-content/uploads/2023/09/20250930_Report_EU_Solar_Jobs_Report_2025_Lits_ff3059f845.pdf?utm_source=chatgpt.com - page=7.07" xr:uid="{E93E6070-D097-409F-8DAC-E11015B065EC}"/>
    <hyperlink ref="P75" r:id="rId113" location="page=7.07" display="https://www.infobuildenergia.it/wp-content/uploads/2023/09/20250930_Report_EU_Solar_Jobs_Report_2025_Lits_ff3059f845.pdf?utm_source=chatgpt.com - page=7.07" xr:uid="{A5BA3ACB-5840-4E70-A3F3-F3DB4A588E1D}"/>
    <hyperlink ref="P85" r:id="rId114" location="page=7.07" display="https://www.infobuildenergia.it/wp-content/uploads/2023/09/20250930_Report_EU_Solar_Jobs_Report_2025_Lits_ff3059f845.pdf?utm_source=chatgpt.com - page=7.07" xr:uid="{0CE898BF-6C00-4812-819F-123094F56FC7}"/>
    <hyperlink ref="P95" r:id="rId115" location="page=7.07" display="https://www.infobuildenergia.it/wp-content/uploads/2023/09/20250930_Report_EU_Solar_Jobs_Report_2025_Lits_ff3059f845.pdf?utm_source=chatgpt.com - page=7.07" xr:uid="{D284ADF0-84BF-4720-81BD-750B5CEDE970}"/>
    <hyperlink ref="P105" r:id="rId116" location="page=7.07" display="https://www.infobuildenergia.it/wp-content/uploads/2023/09/20250930_Report_EU_Solar_Jobs_Report_2025_Lits_ff3059f845.pdf?utm_source=chatgpt.com - page=7.07" xr:uid="{1A43A9C9-9921-4820-BFC2-FF744A39B7E9}"/>
    <hyperlink ref="P126" r:id="rId117" location="page=7.07" display="https://www.infobuildenergia.it/wp-content/uploads/2023/09/20250930_Report_EU_Solar_Jobs_Report_2025_Lits_ff3059f845.pdf?utm_source=chatgpt.com - page=7.07" xr:uid="{726E3323-12A6-4F2B-B2AE-26BA9F9B4F12}"/>
    <hyperlink ref="P136" r:id="rId118" location="page=7.07" display="https://www.infobuildenergia.it/wp-content/uploads/2023/09/20250930_Report_EU_Solar_Jobs_Report_2025_Lits_ff3059f845.pdf?utm_source=chatgpt.com - page=7.07" xr:uid="{7B9D71C7-F868-40B9-8E23-87DD52335AA4}"/>
    <hyperlink ref="P146" r:id="rId119" location="page=7.07" display="https://www.infobuildenergia.it/wp-content/uploads/2023/09/20250930_Report_EU_Solar_Jobs_Report_2025_Lits_ff3059f845.pdf?utm_source=chatgpt.com - page=7.07" xr:uid="{52D7478A-1A1F-46A1-B050-FC581A2299E9}"/>
    <hyperlink ref="P168" r:id="rId120" location="page=7.07" display="https://www.infobuildenergia.it/wp-content/uploads/2023/09/20250930_Report_EU_Solar_Jobs_Report_2025_Lits_ff3059f845.pdf?utm_source=chatgpt.com - page=7.07" xr:uid="{29524567-F0B2-4C84-9332-E95CB7F00486}"/>
    <hyperlink ref="P178" r:id="rId121" location="page=7.07" display="https://www.infobuildenergia.it/wp-content/uploads/2023/09/20250930_Report_EU_Solar_Jobs_Report_2025_Lits_ff3059f845.pdf?utm_source=chatgpt.com - page=7.07" xr:uid="{111165AC-78A8-4C8D-A81A-2B45630AD48D}"/>
    <hyperlink ref="P188" r:id="rId122" location="page=7.07" display="https://www.infobuildenergia.it/wp-content/uploads/2023/09/20250930_Report_EU_Solar_Jobs_Report_2025_Lits_ff3059f845.pdf?utm_source=chatgpt.com - page=7.07" xr:uid="{BD6F8867-6107-47E8-A6CB-DC88DEF730DB}"/>
    <hyperlink ref="P198" r:id="rId123" location="page=7.07" display="https://www.infobuildenergia.it/wp-content/uploads/2023/09/20250930_Report_EU_Solar_Jobs_Report_2025_Lits_ff3059f845.pdf?utm_source=chatgpt.com - page=7.07" xr:uid="{40D34E54-08CA-4570-9355-0F08ECB6105F}"/>
    <hyperlink ref="P210" r:id="rId124" location="page=7.07" display="https://www.infobuildenergia.it/wp-content/uploads/2023/09/20250930_Report_EU_Solar_Jobs_Report_2025_Lits_ff3059f845.pdf?utm_source=chatgpt.com - page=7.07" xr:uid="{C1EBED54-41A1-4DB2-BF35-6619A944DD07}"/>
    <hyperlink ref="P230" r:id="rId125" location="page=7.07" display="https://www.infobuildenergia.it/wp-content/uploads/2023/09/20250930_Report_EU_Solar_Jobs_Report_2025_Lits_ff3059f845.pdf?utm_source=chatgpt.com - page=7.07" xr:uid="{CE87F6A5-9165-4DB4-9DF9-C07C97ACFF18}"/>
    <hyperlink ref="P240" r:id="rId126" location="page=7.07" display="https://www.infobuildenergia.it/wp-content/uploads/2023/09/20250930_Report_EU_Solar_Jobs_Report_2025_Lits_ff3059f845.pdf?utm_source=chatgpt.com - page=7.07" xr:uid="{9D17C7B0-4E38-43FF-9423-E13AB7867593}"/>
    <hyperlink ref="P260" r:id="rId127" location="page=7.07" display="https://www.infobuildenergia.it/wp-content/uploads/2023/09/20250930_Report_EU_Solar_Jobs_Report_2025_Lits_ff3059f845.pdf?utm_source=chatgpt.com - page=7.07" xr:uid="{F3502850-B22F-4AE2-80E2-17B6AA10F19F}"/>
    <hyperlink ref="P287" r:id="rId128" location="page=7.07" display="https://www.infobuildenergia.it/wp-content/uploads/2023/09/20250930_Report_EU_Solar_Jobs_Report_2025_Lits_ff3059f845.pdf?utm_source=chatgpt.com - page=7.07" xr:uid="{5C6DDD34-A099-4032-A764-69DB4C9A212B}"/>
    <hyperlink ref="P115" r:id="rId129" xr:uid="{FBA4294D-28B3-4125-8474-0239FC840D6B}"/>
    <hyperlink ref="P8" r:id="rId130" display="https://ens.dk/en/analyses-and-statistics/technology-data-individual-heating-plants" xr:uid="{6A7984DE-E4E7-FB4C-AABF-4B159BCFD567}"/>
    <hyperlink ref="P51" r:id="rId131" display="https://ens.dk/en/analyses-and-statistics/technology-data-individual-heating-plants" xr:uid="{7002677C-E6E5-CE42-B1DB-BED410C03841}"/>
    <hyperlink ref="P28" r:id="rId132" display="https://ens.dk/en/analyses-and-statistics/technology-data-individual-heating-plants" xr:uid="{79AB5C54-530B-CD45-A7B6-3D577D2C0F22}"/>
    <hyperlink ref="P63" r:id="rId133" display="https://ens.dk/en/analyses-and-statistics/technology-data-individual-heating-plants" xr:uid="{EB560770-7CE4-DF4E-A8DB-015793D61319}"/>
    <hyperlink ref="P83" r:id="rId134" display="https://ens.dk/en/analyses-and-statistics/technology-data-individual-heating-plants" xr:uid="{0DD9D612-8B32-D44B-9431-ADE60250465A}"/>
    <hyperlink ref="P134" r:id="rId135" display="https://ens.dk/en/analyses-and-statistics/technology-data-individual-heating-plants" xr:uid="{DD4035DC-C98F-A241-9331-02C71CF7113A}"/>
    <hyperlink ref="P166" r:id="rId136" display="https://ens.dk/en/analyses-and-statistics/technology-data-individual-heating-plants" xr:uid="{9F92B21C-1295-C74B-B419-2D90213179DB}"/>
    <hyperlink ref="P176" r:id="rId137" display="https://ens.dk/en/analyses-and-statistics/technology-data-individual-heating-plants" xr:uid="{F07DEC6C-8991-A24D-B246-BA2D2EC0409C}"/>
    <hyperlink ref="P186" r:id="rId138" display="https://ens.dk/en/analyses-and-statistics/technology-data-individual-heating-plants" xr:uid="{69E50236-CA36-3444-BA32-BD53E5ADBD3D}"/>
    <hyperlink ref="P196" r:id="rId139" display="https://ens.dk/en/analyses-and-statistics/technology-data-individual-heating-plants" xr:uid="{B5B80375-08DE-BC4F-A324-93F3A830D024}"/>
    <hyperlink ref="P228" r:id="rId140" display="https://ens.dk/en/analyses-and-statistics/technology-data-individual-heating-plants" xr:uid="{F2A5E753-6805-0342-943A-3DCE1ED1B64A}"/>
    <hyperlink ref="P258" r:id="rId141" display="https://ens.dk/en/analyses-and-statistics/technology-data-individual-heating-plants" xr:uid="{14D21B90-E4E3-9E48-B4D2-D9CD476A050A}"/>
    <hyperlink ref="P285" r:id="rId142" display="https://ens.dk/en/analyses-and-statistics/technology-data-individual-heating-plants" xr:uid="{54FFD539-1B29-2443-9A29-0F651903A474}"/>
    <hyperlink ref="P144" r:id="rId143" display="https://ens.dk/en/analyses-and-statistics/technology-data-individual-heating-plants" xr:uid="{86190BBF-075B-EA41-8D21-FBB4FA085496}"/>
    <hyperlink ref="P17" r:id="rId144" xr:uid="{5234A3B6-0CB1-8B43-997F-452B8BB6B889}"/>
  </hyperlinks>
  <pageMargins left="0.7" right="0.7" top="0.75" bottom="0.75" header="0.3" footer="0.3"/>
  <legacyDrawing r:id="rId145"/>
  <tableParts count="1">
    <tablePart r:id="rId14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39AA1707BB164D924C88A8652520F8" ma:contentTypeVersion="12" ma:contentTypeDescription="Create a new document." ma:contentTypeScope="" ma:versionID="ce7d9625cbedfb343b4110b061988a89">
  <xsd:schema xmlns:xsd="http://www.w3.org/2001/XMLSchema" xmlns:xs="http://www.w3.org/2001/XMLSchema" xmlns:p="http://schemas.microsoft.com/office/2006/metadata/properties" xmlns:ns2="4828578a-2002-4229-896d-107de2893747" xmlns:ns3="4b505d4c-0df9-4384-9c18-4f3216bd7e63" targetNamespace="http://schemas.microsoft.com/office/2006/metadata/properties" ma:root="true" ma:fieldsID="ca3f5218d981f578a9e2684ca9bf6b66" ns2:_="" ns3:_="">
    <xsd:import namespace="4828578a-2002-4229-896d-107de2893747"/>
    <xsd:import namespace="4b505d4c-0df9-4384-9c18-4f3216bd7e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8578a-2002-4229-896d-107de2893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05d4c-0df9-4384-9c18-4f3216bd7e6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81c172-582f-4d1a-9621-66d82fb94d1b}" ma:internalName="TaxCatchAll" ma:showField="CatchAllData" ma:web="4b505d4c-0df9-4384-9c18-4f3216bd7e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8578a-2002-4229-896d-107de2893747">
      <Terms xmlns="http://schemas.microsoft.com/office/infopath/2007/PartnerControls"/>
    </lcf76f155ced4ddcb4097134ff3c332f>
    <TaxCatchAll xmlns="4b505d4c-0df9-4384-9c18-4f3216bd7e63" xsi:nil="true"/>
  </documentManagement>
</p:properties>
</file>

<file path=customXml/itemProps1.xml><?xml version="1.0" encoding="utf-8"?>
<ds:datastoreItem xmlns:ds="http://schemas.openxmlformats.org/officeDocument/2006/customXml" ds:itemID="{84917B3B-9164-48EC-B965-80E247CF4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28578a-2002-4229-896d-107de2893747"/>
    <ds:schemaRef ds:uri="4b505d4c-0df9-4384-9c18-4f3216bd7e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52C9B0-8B69-4A73-B489-1B608ACC38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DB5E63-9238-4046-8C5F-A05900351E86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4828578a-2002-4229-896d-107de2893747"/>
    <ds:schemaRef ds:uri="4b505d4c-0df9-4384-9c18-4f3216bd7e6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Diez, Nikolaus Heiner</dc:creator>
  <cp:keywords/>
  <dc:description/>
  <cp:lastModifiedBy>Libardoni Giovanni</cp:lastModifiedBy>
  <cp:revision/>
  <dcterms:created xsi:type="dcterms:W3CDTF">2025-05-23T08:31:56Z</dcterms:created>
  <dcterms:modified xsi:type="dcterms:W3CDTF">2026-05-29T07:31:42Z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0x010100D739AA1707BB164D924C88A8652520F8</vt:lpwstr>
  </property>
  <property fmtid="{D5CDD505-2E9C-101B-9397-08002B2CF9AE}" pid="3" name="MediaServiceImageTags">
    <vt:lpwstr/>
  </property>
</Properties>
</file>